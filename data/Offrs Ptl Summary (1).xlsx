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8001_{B986BE23-B1C7-8E41-AB9B-5C8B5BBCD3BE}" xr6:coauthVersionLast="47" xr6:coauthVersionMax="47" xr10:uidLastSave="{00000000-0000-0000-0000-000000000000}"/>
  <bookViews>
    <workbookView xWindow="240" yWindow="600" windowWidth="14800" windowHeight="8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09" i="1" l="1"/>
  <c r="AV409" i="1"/>
  <c r="AU410" i="1"/>
  <c r="AV410" i="1"/>
  <c r="AU411" i="1"/>
  <c r="AV411" i="1"/>
  <c r="AU412" i="1"/>
  <c r="AV412" i="1"/>
  <c r="AU413" i="1"/>
  <c r="AV413" i="1"/>
  <c r="AU414" i="1"/>
  <c r="AV414" i="1"/>
  <c r="AU415" i="1"/>
  <c r="AV415" i="1"/>
  <c r="AU394" i="1"/>
  <c r="AV394" i="1"/>
  <c r="AU395" i="1"/>
  <c r="AV395" i="1"/>
  <c r="AU396" i="1"/>
  <c r="AV396" i="1"/>
  <c r="AU397" i="1"/>
  <c r="AV397" i="1"/>
  <c r="AU398" i="1"/>
  <c r="AV398" i="1"/>
  <c r="AU399" i="1"/>
  <c r="AV399" i="1"/>
  <c r="AU400" i="1"/>
  <c r="AV400" i="1"/>
  <c r="AU392" i="1"/>
  <c r="AV392" i="1"/>
  <c r="AU393" i="1"/>
  <c r="AV393" i="1"/>
  <c r="AU381" i="1"/>
  <c r="AV381" i="1"/>
  <c r="AU382" i="1"/>
  <c r="AV382" i="1"/>
  <c r="AU383" i="1"/>
  <c r="AV383" i="1"/>
  <c r="AU384" i="1"/>
  <c r="AV384" i="1"/>
  <c r="AU385" i="1"/>
  <c r="AV385" i="1"/>
  <c r="AU306" i="1"/>
  <c r="AV306" i="1"/>
  <c r="AU307" i="1"/>
  <c r="AV307" i="1"/>
  <c r="AU308" i="1"/>
  <c r="AV308" i="1"/>
  <c r="AU309" i="1"/>
  <c r="AV309" i="1"/>
  <c r="AU310" i="1"/>
  <c r="AV310" i="1"/>
  <c r="AU311" i="1"/>
  <c r="AV311" i="1"/>
  <c r="AU312" i="1"/>
  <c r="AV312" i="1"/>
  <c r="AU313" i="1"/>
  <c r="AV313" i="1"/>
  <c r="AU314" i="1"/>
  <c r="AV314" i="1"/>
  <c r="AU315" i="1"/>
  <c r="AV315" i="1"/>
  <c r="AU304" i="1"/>
  <c r="AV304" i="1"/>
  <c r="AU305" i="1"/>
  <c r="AV305" i="1"/>
  <c r="AU150" i="1"/>
  <c r="AV150" i="1"/>
  <c r="AV30" i="1"/>
  <c r="AV24" i="1"/>
  <c r="AU27" i="1"/>
  <c r="AV27" i="1"/>
  <c r="AU28" i="1"/>
  <c r="AU29" i="1"/>
  <c r="AV29" i="1"/>
  <c r="AU30" i="1"/>
  <c r="AU31" i="1"/>
  <c r="AV31" i="1"/>
  <c r="AU23" i="1"/>
  <c r="AV23" i="1"/>
  <c r="AU24" i="1"/>
  <c r="AU25" i="1"/>
  <c r="AV25" i="1"/>
  <c r="AU26" i="1"/>
  <c r="AV26" i="1"/>
  <c r="AU121" i="1"/>
  <c r="AV121" i="1"/>
  <c r="AU118" i="1"/>
  <c r="AV118" i="1"/>
  <c r="AU119" i="1"/>
  <c r="AV119" i="1"/>
  <c r="AU120" i="1"/>
  <c r="AV120" i="1"/>
  <c r="AU303" i="1"/>
  <c r="AV303" i="1"/>
  <c r="C163" i="1"/>
  <c r="AP163" i="1"/>
  <c r="AM163" i="1"/>
  <c r="AU116" i="1"/>
  <c r="AV116" i="1"/>
  <c r="AU117" i="1"/>
  <c r="AV117" i="1"/>
  <c r="AU122" i="1"/>
  <c r="AV122" i="1"/>
  <c r="AU123" i="1"/>
  <c r="AV123" i="1"/>
  <c r="AU124" i="1"/>
  <c r="AV124" i="1"/>
  <c r="AU115" i="1"/>
  <c r="AV115" i="1"/>
  <c r="AU35" i="1"/>
  <c r="AV35" i="1"/>
  <c r="AU36" i="1"/>
  <c r="AV36" i="1"/>
  <c r="AU37" i="1"/>
  <c r="AV37" i="1"/>
  <c r="AU38" i="1"/>
  <c r="AV38" i="1"/>
  <c r="AU39" i="1"/>
  <c r="AV39" i="1"/>
  <c r="AU40" i="1"/>
  <c r="AV40" i="1"/>
  <c r="AU56" i="1"/>
  <c r="AV56" i="1"/>
  <c r="AV22" i="1"/>
  <c r="AU22" i="1"/>
  <c r="AU478" i="1"/>
  <c r="AV478" i="1"/>
  <c r="AU256" i="1"/>
  <c r="AU272" i="1"/>
  <c r="AV272" i="1"/>
  <c r="AU273" i="1"/>
  <c r="AV273" i="1"/>
  <c r="AU274" i="1"/>
  <c r="AV274" i="1"/>
  <c r="AU279" i="1"/>
  <c r="AV279" i="1"/>
  <c r="AU282" i="1"/>
  <c r="AV282" i="1"/>
  <c r="AU283" i="1"/>
  <c r="AV283" i="1"/>
  <c r="AU285" i="1"/>
  <c r="AV285" i="1"/>
  <c r="AU286" i="1"/>
  <c r="AV286" i="1"/>
  <c r="AU287" i="1"/>
  <c r="AV287" i="1"/>
  <c r="AU288" i="1"/>
  <c r="AV288" i="1"/>
  <c r="AU289" i="1"/>
  <c r="AV289" i="1"/>
  <c r="AU295" i="1"/>
  <c r="AV295" i="1"/>
  <c r="AU296" i="1"/>
  <c r="AV296" i="1"/>
  <c r="AU297" i="1"/>
  <c r="AV297" i="1"/>
  <c r="AU299" i="1"/>
  <c r="AV299" i="1"/>
  <c r="AU300" i="1"/>
  <c r="AV300" i="1"/>
  <c r="AU301" i="1"/>
  <c r="AV301" i="1"/>
  <c r="AU302" i="1"/>
  <c r="AV302" i="1"/>
  <c r="AU317" i="1"/>
  <c r="AV317" i="1"/>
  <c r="AU318" i="1"/>
  <c r="AV318" i="1"/>
  <c r="AU319" i="1"/>
  <c r="AV319" i="1"/>
  <c r="AU320" i="1"/>
  <c r="AV320" i="1"/>
  <c r="AU321" i="1"/>
  <c r="AV321" i="1"/>
  <c r="AU325" i="1"/>
  <c r="AV325" i="1"/>
  <c r="AU326" i="1"/>
  <c r="AV326" i="1"/>
  <c r="AU327" i="1"/>
  <c r="AV327" i="1"/>
  <c r="AU329" i="1"/>
  <c r="AV329" i="1"/>
  <c r="AU330" i="1"/>
  <c r="AV330" i="1"/>
  <c r="AU331" i="1"/>
  <c r="AV331" i="1"/>
  <c r="AU332" i="1"/>
  <c r="AV332" i="1"/>
  <c r="AU336" i="1"/>
  <c r="AV336" i="1"/>
  <c r="AU337" i="1"/>
  <c r="AV337" i="1"/>
  <c r="AU338" i="1"/>
  <c r="AV338" i="1"/>
  <c r="AU340" i="1"/>
  <c r="AV340" i="1"/>
  <c r="AU341" i="1"/>
  <c r="AV341" i="1"/>
  <c r="AU342" i="1"/>
  <c r="AV342" i="1"/>
  <c r="AU346" i="1"/>
  <c r="AV346" i="1"/>
  <c r="AU347" i="1"/>
  <c r="AV347" i="1"/>
  <c r="AU348" i="1"/>
  <c r="AV348" i="1"/>
  <c r="AU349" i="1"/>
  <c r="AV349" i="1"/>
  <c r="AU351" i="1"/>
  <c r="AV351" i="1"/>
  <c r="AU352" i="1"/>
  <c r="AV352" i="1"/>
  <c r="AU353" i="1"/>
  <c r="AV353" i="1"/>
  <c r="AU356" i="1"/>
  <c r="AV356" i="1"/>
  <c r="AU357" i="1"/>
  <c r="AV357" i="1"/>
  <c r="AU358" i="1"/>
  <c r="AV358" i="1"/>
  <c r="AU359" i="1"/>
  <c r="AV359" i="1"/>
  <c r="AU361" i="1"/>
  <c r="AV361" i="1"/>
  <c r="AU362" i="1"/>
  <c r="AV362" i="1"/>
  <c r="AU363" i="1"/>
  <c r="AV363" i="1"/>
  <c r="AU364" i="1"/>
  <c r="AV364" i="1"/>
  <c r="AU365" i="1"/>
  <c r="AV365" i="1"/>
  <c r="AU373" i="1"/>
  <c r="AV373" i="1"/>
  <c r="AU374" i="1"/>
  <c r="AV374" i="1"/>
  <c r="AU375" i="1"/>
  <c r="AV375" i="1"/>
  <c r="AU377" i="1"/>
  <c r="AV377" i="1"/>
  <c r="AU378" i="1"/>
  <c r="AV378" i="1"/>
  <c r="AU379" i="1"/>
  <c r="AV379" i="1"/>
  <c r="AU380" i="1"/>
  <c r="AV380" i="1"/>
  <c r="AU387" i="1"/>
  <c r="AV387" i="1"/>
  <c r="AU388" i="1"/>
  <c r="AV388" i="1"/>
  <c r="AU389" i="1"/>
  <c r="AV389" i="1"/>
  <c r="AU390" i="1"/>
  <c r="AV390" i="1"/>
  <c r="AU391" i="1"/>
  <c r="AV391" i="1"/>
  <c r="AU402" i="1"/>
  <c r="AV402" i="1"/>
  <c r="AU403" i="1"/>
  <c r="AV403" i="1"/>
  <c r="AU404" i="1"/>
  <c r="AV404" i="1"/>
  <c r="AU405" i="1"/>
  <c r="AV405" i="1"/>
  <c r="AU406" i="1"/>
  <c r="AV406" i="1"/>
  <c r="AU407" i="1"/>
  <c r="AV407" i="1"/>
  <c r="AU408" i="1"/>
  <c r="AV408" i="1"/>
  <c r="AU417" i="1"/>
  <c r="AV417" i="1"/>
  <c r="AU418" i="1"/>
  <c r="AV418" i="1"/>
  <c r="AU419" i="1"/>
  <c r="AV419" i="1"/>
  <c r="AU420" i="1"/>
  <c r="AV420" i="1"/>
  <c r="AU421" i="1"/>
  <c r="AV421" i="1"/>
  <c r="AU422" i="1"/>
  <c r="AV422" i="1"/>
  <c r="AU423" i="1"/>
  <c r="AV423" i="1"/>
  <c r="AU424" i="1"/>
  <c r="AV424" i="1"/>
  <c r="AU426" i="1"/>
  <c r="AV426" i="1"/>
  <c r="AU427" i="1"/>
  <c r="AV427" i="1"/>
  <c r="AU428" i="1"/>
  <c r="AV428" i="1"/>
  <c r="AU429" i="1"/>
  <c r="AV429" i="1"/>
  <c r="AU430" i="1"/>
  <c r="AV430" i="1"/>
  <c r="AU431" i="1"/>
  <c r="AV431" i="1"/>
  <c r="AU432" i="1"/>
  <c r="AV432" i="1"/>
  <c r="AU433" i="1"/>
  <c r="AV433" i="1"/>
  <c r="AU435" i="1"/>
  <c r="AV435" i="1"/>
  <c r="AU436" i="1"/>
  <c r="AV436" i="1"/>
  <c r="AU437" i="1"/>
  <c r="AV437" i="1"/>
  <c r="AU438" i="1"/>
  <c r="AV438" i="1"/>
  <c r="AU439" i="1"/>
  <c r="AV439" i="1"/>
  <c r="AU440" i="1"/>
  <c r="AV440" i="1"/>
  <c r="AU441" i="1"/>
  <c r="AV441" i="1"/>
  <c r="AU442" i="1"/>
  <c r="AV442" i="1"/>
  <c r="AU443" i="1"/>
  <c r="AV443" i="1"/>
  <c r="AU445" i="1"/>
  <c r="AV445" i="1"/>
  <c r="AU446" i="1"/>
  <c r="AV446" i="1"/>
  <c r="AU447" i="1"/>
  <c r="AV447" i="1"/>
  <c r="AU448" i="1"/>
  <c r="AV448" i="1"/>
  <c r="AU449" i="1"/>
  <c r="AV449" i="1"/>
  <c r="AU450" i="1"/>
  <c r="AV450" i="1"/>
  <c r="AU451" i="1"/>
  <c r="AV451" i="1"/>
  <c r="AU453" i="1"/>
  <c r="AV453" i="1"/>
  <c r="AU454" i="1"/>
  <c r="AV454" i="1"/>
  <c r="AU455" i="1"/>
  <c r="AV455" i="1"/>
  <c r="AU456" i="1"/>
  <c r="AV456" i="1"/>
  <c r="AU457" i="1"/>
  <c r="AV457" i="1"/>
  <c r="AU458" i="1"/>
  <c r="AV458" i="1"/>
  <c r="AU463" i="1"/>
  <c r="AV463" i="1"/>
  <c r="AU464" i="1"/>
  <c r="AV464" i="1"/>
  <c r="AU465" i="1"/>
  <c r="AV465" i="1"/>
  <c r="AU467" i="1"/>
  <c r="AV467" i="1"/>
  <c r="AU468" i="1"/>
  <c r="AV468" i="1"/>
  <c r="AU469" i="1"/>
  <c r="AV469" i="1"/>
  <c r="AU470" i="1"/>
  <c r="AV470" i="1"/>
  <c r="AU471" i="1"/>
  <c r="AV471" i="1"/>
  <c r="AU472" i="1"/>
  <c r="AV472" i="1"/>
  <c r="AU473" i="1"/>
  <c r="AV473" i="1"/>
  <c r="AU474" i="1"/>
  <c r="AV474" i="1"/>
  <c r="AU475" i="1"/>
  <c r="AV475" i="1"/>
  <c r="AU477" i="1"/>
  <c r="AV477" i="1"/>
  <c r="AU479" i="1"/>
  <c r="AV479" i="1"/>
  <c r="AU480" i="1"/>
  <c r="AV480" i="1"/>
  <c r="AU481" i="1"/>
  <c r="AV481" i="1"/>
  <c r="AU482" i="1"/>
  <c r="AV482" i="1"/>
  <c r="AU483" i="1"/>
  <c r="AV483" i="1"/>
  <c r="AU484" i="1"/>
  <c r="AV484" i="1"/>
  <c r="AU485" i="1"/>
  <c r="AV485" i="1"/>
  <c r="AU486" i="1"/>
  <c r="AV486" i="1"/>
  <c r="AU488" i="1"/>
  <c r="AV488" i="1"/>
  <c r="AU489" i="1"/>
  <c r="AV489" i="1"/>
  <c r="AU490" i="1"/>
  <c r="AV490" i="1"/>
  <c r="AU491" i="1"/>
  <c r="AV491" i="1"/>
  <c r="AU492" i="1"/>
  <c r="AV492" i="1"/>
  <c r="AU496" i="1"/>
  <c r="AV496" i="1"/>
  <c r="AU497" i="1"/>
  <c r="AV497" i="1"/>
  <c r="AU498" i="1"/>
  <c r="AV498" i="1"/>
  <c r="AU500" i="1"/>
  <c r="AV500" i="1"/>
  <c r="AU501" i="1"/>
  <c r="AV501" i="1"/>
  <c r="AU502" i="1"/>
  <c r="AV502" i="1"/>
  <c r="AU503" i="1"/>
  <c r="AV503" i="1"/>
  <c r="AU504" i="1"/>
  <c r="AV504" i="1"/>
  <c r="AU505" i="1"/>
  <c r="AV505" i="1"/>
  <c r="AU510" i="1"/>
  <c r="AV510" i="1"/>
  <c r="AU511" i="1"/>
  <c r="AV511" i="1"/>
  <c r="AU512" i="1"/>
  <c r="AV512" i="1"/>
  <c r="AU514" i="1"/>
  <c r="AV514" i="1"/>
  <c r="AU515" i="1"/>
  <c r="AV515" i="1"/>
  <c r="AU516" i="1"/>
  <c r="AV516" i="1"/>
  <c r="AU517" i="1"/>
  <c r="AV517" i="1"/>
  <c r="AU518" i="1"/>
  <c r="AV518" i="1"/>
  <c r="AU519" i="1"/>
  <c r="AV519" i="1"/>
  <c r="AU520" i="1"/>
  <c r="AV520" i="1"/>
  <c r="AU521" i="1"/>
  <c r="AV521" i="1"/>
  <c r="AU522" i="1"/>
  <c r="AV522" i="1"/>
  <c r="AU523" i="1"/>
  <c r="AV523" i="1"/>
  <c r="AU525" i="1"/>
  <c r="AV525" i="1"/>
  <c r="AU526" i="1"/>
  <c r="AV526" i="1"/>
  <c r="AU527" i="1"/>
  <c r="AV527" i="1"/>
  <c r="AU528" i="1"/>
  <c r="AV528" i="1"/>
  <c r="AU529" i="1"/>
  <c r="AV529" i="1"/>
  <c r="AU530" i="1"/>
  <c r="AV530" i="1"/>
  <c r="AU531" i="1"/>
  <c r="AV531" i="1"/>
  <c r="AU532" i="1"/>
  <c r="AV532" i="1"/>
  <c r="AU257" i="1"/>
  <c r="AV257" i="1"/>
  <c r="AU258" i="1"/>
  <c r="AV258" i="1"/>
  <c r="AU259" i="1"/>
  <c r="AV259" i="1"/>
  <c r="AU260" i="1"/>
  <c r="AV260" i="1"/>
  <c r="AU261" i="1"/>
  <c r="AV261" i="1"/>
  <c r="AU265" i="1"/>
  <c r="AV265" i="1"/>
  <c r="AU266" i="1"/>
  <c r="AV266" i="1"/>
  <c r="AU267" i="1"/>
  <c r="AV267" i="1"/>
  <c r="AU269" i="1"/>
  <c r="AV269" i="1"/>
  <c r="AU270" i="1"/>
  <c r="AV270" i="1"/>
  <c r="AU271" i="1"/>
  <c r="AV271" i="1"/>
  <c r="AV256" i="1"/>
  <c r="AU241" i="1"/>
  <c r="AV241" i="1"/>
  <c r="AU242" i="1"/>
  <c r="AV242" i="1"/>
  <c r="AU243" i="1"/>
  <c r="AV243" i="1"/>
  <c r="AU244" i="1"/>
  <c r="AV244" i="1"/>
  <c r="AU245" i="1"/>
  <c r="AV245" i="1"/>
  <c r="AU249" i="1"/>
  <c r="AV249" i="1"/>
  <c r="AU251" i="1"/>
  <c r="AV251" i="1"/>
  <c r="AU252" i="1"/>
  <c r="AV252" i="1"/>
  <c r="AU253" i="1"/>
  <c r="AV253" i="1"/>
  <c r="AU254" i="1"/>
  <c r="AV254" i="1"/>
  <c r="AV240" i="1"/>
  <c r="AU240" i="1"/>
  <c r="AU225" i="1"/>
  <c r="AV225" i="1"/>
  <c r="AU226" i="1"/>
  <c r="AV226" i="1"/>
  <c r="AU227" i="1"/>
  <c r="AV227" i="1"/>
  <c r="AU228" i="1"/>
  <c r="AV228" i="1"/>
  <c r="AU229" i="1"/>
  <c r="AV229" i="1"/>
  <c r="AU230" i="1"/>
  <c r="AV230" i="1"/>
  <c r="AU237" i="1"/>
  <c r="AV237" i="1"/>
  <c r="AU238" i="1"/>
  <c r="AV238" i="1"/>
  <c r="AV224" i="1"/>
  <c r="AU224" i="1"/>
  <c r="AU211" i="1"/>
  <c r="AV211" i="1"/>
  <c r="AU212" i="1"/>
  <c r="AV212" i="1"/>
  <c r="AU213" i="1"/>
  <c r="AV213" i="1"/>
  <c r="AU214" i="1"/>
  <c r="AV214" i="1"/>
  <c r="AU215" i="1"/>
  <c r="AV215" i="1"/>
  <c r="AU219" i="1"/>
  <c r="AV219" i="1"/>
  <c r="AU220" i="1"/>
  <c r="AV220" i="1"/>
  <c r="AU221" i="1"/>
  <c r="AV221" i="1"/>
  <c r="AU222" i="1"/>
  <c r="AV222" i="1"/>
  <c r="AV210" i="1"/>
  <c r="AU210" i="1"/>
  <c r="AU197" i="1"/>
  <c r="AV197" i="1"/>
  <c r="AU198" i="1"/>
  <c r="AV198" i="1"/>
  <c r="AU199" i="1"/>
  <c r="AV199" i="1"/>
  <c r="AU200" i="1"/>
  <c r="AV200" i="1"/>
  <c r="AU201" i="1"/>
  <c r="AV201" i="1"/>
  <c r="AU205" i="1"/>
  <c r="AV205" i="1"/>
  <c r="AU206" i="1"/>
  <c r="AV206" i="1"/>
  <c r="AU207" i="1"/>
  <c r="AV207" i="1"/>
  <c r="AU208" i="1"/>
  <c r="AV208" i="1"/>
  <c r="AV196" i="1"/>
  <c r="AU196" i="1"/>
  <c r="AU185" i="1"/>
  <c r="AV185" i="1"/>
  <c r="AU186" i="1"/>
  <c r="AV186" i="1"/>
  <c r="AU187" i="1"/>
  <c r="AV187" i="1"/>
  <c r="AU188" i="1"/>
  <c r="AV188" i="1"/>
  <c r="AU191" i="1"/>
  <c r="AV191" i="1"/>
  <c r="AU192" i="1"/>
  <c r="AV192" i="1"/>
  <c r="AU193" i="1"/>
  <c r="AV193" i="1"/>
  <c r="AU194" i="1"/>
  <c r="AV194" i="1"/>
  <c r="AV184" i="1"/>
  <c r="AU184" i="1"/>
  <c r="AU165" i="1"/>
  <c r="AV165" i="1"/>
  <c r="AU166" i="1"/>
  <c r="AV166" i="1"/>
  <c r="AU167" i="1"/>
  <c r="AV167" i="1"/>
  <c r="AU168" i="1"/>
  <c r="AV168" i="1"/>
  <c r="AU169" i="1"/>
  <c r="AV169" i="1"/>
  <c r="AU170" i="1"/>
  <c r="AV170" i="1"/>
  <c r="AU171" i="1"/>
  <c r="AV171" i="1"/>
  <c r="AU172" i="1"/>
  <c r="AV172" i="1"/>
  <c r="AU182" i="1"/>
  <c r="AV182" i="1"/>
  <c r="AV164" i="1"/>
  <c r="AU164" i="1"/>
  <c r="AU137" i="1"/>
  <c r="AV137" i="1"/>
  <c r="AU138" i="1"/>
  <c r="AV138" i="1"/>
  <c r="AU139" i="1"/>
  <c r="AV139" i="1"/>
  <c r="AU140" i="1"/>
  <c r="AV140" i="1"/>
  <c r="AU141" i="1"/>
  <c r="AV141" i="1"/>
  <c r="AU142" i="1"/>
  <c r="AV142" i="1"/>
  <c r="AU143" i="1"/>
  <c r="AV143" i="1"/>
  <c r="AU144" i="1"/>
  <c r="AV144" i="1"/>
  <c r="AU145" i="1"/>
  <c r="AV145" i="1"/>
  <c r="AU146" i="1"/>
  <c r="AV146" i="1"/>
  <c r="AU147" i="1"/>
  <c r="AV147" i="1"/>
  <c r="AU148" i="1"/>
  <c r="AV148" i="1"/>
  <c r="AU149" i="1"/>
  <c r="AV149" i="1"/>
  <c r="AU161" i="1"/>
  <c r="AV161" i="1"/>
  <c r="AU162" i="1"/>
  <c r="AV162" i="1"/>
  <c r="AV136" i="1"/>
  <c r="AU136" i="1"/>
  <c r="AU129" i="1"/>
  <c r="AV129" i="1"/>
  <c r="AU130" i="1"/>
  <c r="AV130" i="1"/>
  <c r="AU131" i="1"/>
  <c r="AV131" i="1"/>
  <c r="AU132" i="1"/>
  <c r="AV132" i="1"/>
  <c r="AU133" i="1"/>
  <c r="AV133" i="1"/>
  <c r="AU134" i="1"/>
  <c r="AV134" i="1"/>
  <c r="AV128" i="1"/>
  <c r="AU128" i="1"/>
  <c r="AU108" i="1"/>
  <c r="AV108" i="1"/>
  <c r="AU109" i="1"/>
  <c r="AV109" i="1"/>
  <c r="AU110" i="1"/>
  <c r="AV110" i="1"/>
  <c r="AU111" i="1"/>
  <c r="AV111" i="1"/>
  <c r="AU112" i="1"/>
  <c r="AV112" i="1"/>
  <c r="AU113" i="1"/>
  <c r="AV113" i="1"/>
  <c r="AU114" i="1"/>
  <c r="AV114" i="1"/>
  <c r="AU125" i="1"/>
  <c r="AV125" i="1"/>
  <c r="AU126" i="1"/>
  <c r="AV126" i="1"/>
  <c r="AV107" i="1"/>
  <c r="AU107" i="1"/>
  <c r="AU93" i="1"/>
  <c r="AV93" i="1"/>
  <c r="AU94" i="1"/>
  <c r="AV94" i="1"/>
  <c r="AU95" i="1"/>
  <c r="AV95" i="1"/>
  <c r="AU96" i="1"/>
  <c r="AV96" i="1"/>
  <c r="AU97" i="1"/>
  <c r="AV97" i="1"/>
  <c r="AU98" i="1"/>
  <c r="AV98" i="1"/>
  <c r="AU102" i="1"/>
  <c r="AV102" i="1"/>
  <c r="AU103" i="1"/>
  <c r="AV103" i="1"/>
  <c r="AU104" i="1"/>
  <c r="AV104" i="1"/>
  <c r="AU105" i="1"/>
  <c r="AV105" i="1"/>
  <c r="AV92" i="1"/>
  <c r="AU92" i="1"/>
  <c r="AU79" i="1"/>
  <c r="AV79" i="1"/>
  <c r="AU80" i="1"/>
  <c r="AV80" i="1"/>
  <c r="AU81" i="1"/>
  <c r="AV81" i="1"/>
  <c r="AU82" i="1"/>
  <c r="AV82" i="1"/>
  <c r="AU87" i="1"/>
  <c r="AV87" i="1"/>
  <c r="AU89" i="1"/>
  <c r="AV89" i="1"/>
  <c r="AU90" i="1"/>
  <c r="AV90" i="1"/>
  <c r="AV78" i="1"/>
  <c r="AU78" i="1"/>
  <c r="AU65" i="1"/>
  <c r="AV65" i="1"/>
  <c r="AU66" i="1"/>
  <c r="AV66" i="1"/>
  <c r="AU67" i="1"/>
  <c r="AV67" i="1"/>
  <c r="AU68" i="1"/>
  <c r="AV68" i="1"/>
  <c r="AU69" i="1"/>
  <c r="AV69" i="1"/>
  <c r="AU74" i="1"/>
  <c r="AV74" i="1"/>
  <c r="AU75" i="1"/>
  <c r="AV75" i="1"/>
  <c r="AU76" i="1"/>
  <c r="AV76" i="1"/>
  <c r="AV64" i="1"/>
  <c r="AU64" i="1"/>
  <c r="AU55" i="1"/>
  <c r="AV55" i="1"/>
  <c r="AU57" i="1"/>
  <c r="AV57" i="1"/>
  <c r="AU58" i="1"/>
  <c r="AV58" i="1"/>
  <c r="AU59" i="1"/>
  <c r="AV59" i="1"/>
  <c r="AU60" i="1"/>
  <c r="AV60" i="1"/>
  <c r="AU61" i="1"/>
  <c r="AV61" i="1"/>
  <c r="AU62" i="1"/>
  <c r="AV62" i="1"/>
  <c r="AU46" i="1"/>
  <c r="AV46" i="1"/>
  <c r="AU47" i="1"/>
  <c r="AV47" i="1"/>
  <c r="AU48" i="1"/>
  <c r="AV48" i="1"/>
  <c r="AU49" i="1"/>
  <c r="AV49" i="1"/>
  <c r="AU50" i="1"/>
  <c r="AV50" i="1"/>
  <c r="AU51" i="1"/>
  <c r="AV51" i="1"/>
  <c r="AU52" i="1"/>
  <c r="AV52" i="1"/>
  <c r="AV54" i="1"/>
  <c r="AU54" i="1"/>
  <c r="AU43" i="1"/>
  <c r="AV43" i="1"/>
  <c r="AU44" i="1"/>
  <c r="AV44" i="1"/>
  <c r="AU45" i="1"/>
  <c r="AV45" i="1"/>
  <c r="AV42" i="1"/>
  <c r="AU42" i="1"/>
  <c r="AU34" i="1"/>
  <c r="AV34" i="1"/>
  <c r="AV33" i="1"/>
  <c r="AU33" i="1"/>
  <c r="AQ524" i="1"/>
  <c r="AT524" i="1"/>
  <c r="AP513" i="1"/>
  <c r="AQ513" i="1"/>
  <c r="AT513" i="1"/>
  <c r="AQ499" i="1"/>
  <c r="AT499" i="1"/>
  <c r="AQ487" i="1"/>
  <c r="AT487" i="1"/>
  <c r="AQ476" i="1"/>
  <c r="AT476" i="1"/>
  <c r="AQ466" i="1"/>
  <c r="AT466" i="1"/>
  <c r="AQ452" i="1"/>
  <c r="AT452" i="1"/>
  <c r="AQ444" i="1"/>
  <c r="AT444" i="1"/>
  <c r="AQ434" i="1"/>
  <c r="AT434" i="1"/>
  <c r="AQ425" i="1"/>
  <c r="AT425" i="1"/>
  <c r="AP416" i="1"/>
  <c r="AQ416" i="1"/>
  <c r="AT416" i="1"/>
  <c r="AQ401" i="1"/>
  <c r="AT401" i="1"/>
  <c r="AQ386" i="1"/>
  <c r="AT386" i="1"/>
  <c r="AQ376" i="1"/>
  <c r="AT376" i="1"/>
  <c r="AQ360" i="1"/>
  <c r="AT360" i="1"/>
  <c r="AQ350" i="1"/>
  <c r="AT350" i="1"/>
  <c r="AQ339" i="1"/>
  <c r="AT339" i="1"/>
  <c r="AQ328" i="1"/>
  <c r="AT328" i="1"/>
  <c r="AQ316" i="1"/>
  <c r="AT316" i="1"/>
  <c r="AQ298" i="1"/>
  <c r="AT298" i="1"/>
  <c r="AQ284" i="1"/>
  <c r="AT284" i="1"/>
  <c r="AQ268" i="1"/>
  <c r="AT268" i="1"/>
  <c r="AQ255" i="1"/>
  <c r="AT255" i="1"/>
  <c r="AQ239" i="1"/>
  <c r="AT239" i="1"/>
  <c r="AQ223" i="1"/>
  <c r="AT223" i="1"/>
  <c r="AQ209" i="1"/>
  <c r="AT209" i="1"/>
  <c r="AQ195" i="1"/>
  <c r="AT195" i="1"/>
  <c r="AQ183" i="1"/>
  <c r="AT183" i="1"/>
  <c r="AT163" i="1"/>
  <c r="AQ163" i="1"/>
  <c r="AT135" i="1"/>
  <c r="AQ135" i="1"/>
  <c r="AT127" i="1"/>
  <c r="AQ127" i="1"/>
  <c r="AT106" i="1"/>
  <c r="AQ106" i="1"/>
  <c r="AT91" i="1"/>
  <c r="AQ91" i="1"/>
  <c r="AT77" i="1"/>
  <c r="AQ77" i="1"/>
  <c r="AT63" i="1"/>
  <c r="AQ63" i="1"/>
  <c r="AT53" i="1"/>
  <c r="AQ53" i="1"/>
  <c r="AT41" i="1"/>
  <c r="AQ41" i="1"/>
  <c r="AT533" i="1"/>
  <c r="AQ533" i="1"/>
  <c r="AT32" i="1"/>
  <c r="AQ32" i="1"/>
  <c r="AQ21" i="1"/>
  <c r="AT21" i="1"/>
  <c r="AV16" i="1"/>
  <c r="AV17" i="1"/>
  <c r="AV18" i="1"/>
  <c r="AV19" i="1"/>
  <c r="AV20" i="1"/>
  <c r="AV15" i="1"/>
  <c r="AU16" i="1"/>
  <c r="AU17" i="1"/>
  <c r="AU18" i="1"/>
  <c r="AU19" i="1"/>
  <c r="AU20" i="1"/>
  <c r="AU15" i="1"/>
  <c r="AE163" i="1"/>
  <c r="AD163" i="1"/>
  <c r="AA163" i="1"/>
  <c r="Z163" i="1"/>
  <c r="W163" i="1"/>
  <c r="V163" i="1"/>
  <c r="S163" i="1"/>
  <c r="R163" i="1"/>
  <c r="O163" i="1"/>
  <c r="N163" i="1"/>
  <c r="K163" i="1"/>
  <c r="J163" i="1"/>
  <c r="G163" i="1"/>
  <c r="AI163" i="1"/>
  <c r="AH163" i="1"/>
  <c r="F163" i="1"/>
  <c r="AL163" i="1"/>
  <c r="Z376" i="1"/>
  <c r="W376" i="1"/>
  <c r="AD21" i="1"/>
  <c r="AH21" i="1"/>
  <c r="W223" i="1"/>
  <c r="Z223" i="1"/>
  <c r="Z77" i="1"/>
  <c r="F533" i="1"/>
  <c r="G533" i="1"/>
  <c r="J533" i="1"/>
  <c r="K533" i="1"/>
  <c r="N533" i="1"/>
  <c r="O533" i="1"/>
  <c r="R533" i="1"/>
  <c r="S533" i="1"/>
  <c r="V533" i="1"/>
  <c r="W533" i="1"/>
  <c r="Z533" i="1"/>
  <c r="AA533" i="1"/>
  <c r="AD533" i="1"/>
  <c r="AE533" i="1"/>
  <c r="AH533" i="1"/>
  <c r="AI533" i="1"/>
  <c r="AL533" i="1"/>
  <c r="AM533" i="1"/>
  <c r="AP533" i="1"/>
  <c r="C533" i="1"/>
  <c r="F513" i="1"/>
  <c r="G513" i="1"/>
  <c r="J513" i="1"/>
  <c r="K513" i="1"/>
  <c r="N513" i="1"/>
  <c r="O513" i="1"/>
  <c r="R513" i="1"/>
  <c r="S513" i="1"/>
  <c r="V513" i="1"/>
  <c r="W513" i="1"/>
  <c r="Z513" i="1"/>
  <c r="AA513" i="1"/>
  <c r="AD513" i="1"/>
  <c r="AE513" i="1"/>
  <c r="AH513" i="1"/>
  <c r="AI513" i="1"/>
  <c r="AL513" i="1"/>
  <c r="AM513" i="1"/>
  <c r="C513" i="1"/>
  <c r="F499" i="1"/>
  <c r="G499" i="1"/>
  <c r="J499" i="1"/>
  <c r="K499" i="1"/>
  <c r="N499" i="1"/>
  <c r="O499" i="1"/>
  <c r="R499" i="1"/>
  <c r="S499" i="1"/>
  <c r="V499" i="1"/>
  <c r="W499" i="1"/>
  <c r="Z499" i="1"/>
  <c r="AA499" i="1"/>
  <c r="AD499" i="1"/>
  <c r="AE499" i="1"/>
  <c r="AH499" i="1"/>
  <c r="AI499" i="1"/>
  <c r="AL499" i="1"/>
  <c r="AM499" i="1"/>
  <c r="AP499" i="1"/>
  <c r="C499" i="1"/>
  <c r="F487" i="1"/>
  <c r="G487" i="1"/>
  <c r="J487" i="1"/>
  <c r="K487" i="1"/>
  <c r="N487" i="1"/>
  <c r="O487" i="1"/>
  <c r="R487" i="1"/>
  <c r="S487" i="1"/>
  <c r="V487" i="1"/>
  <c r="W487" i="1"/>
  <c r="Z487" i="1"/>
  <c r="AA487" i="1"/>
  <c r="AD487" i="1"/>
  <c r="AE487" i="1"/>
  <c r="AH487" i="1"/>
  <c r="AI487" i="1"/>
  <c r="AL487" i="1"/>
  <c r="AM487" i="1"/>
  <c r="AP487" i="1"/>
  <c r="C487" i="1"/>
  <c r="F466" i="1"/>
  <c r="G466" i="1"/>
  <c r="J466" i="1"/>
  <c r="K466" i="1"/>
  <c r="N466" i="1"/>
  <c r="O466" i="1"/>
  <c r="R466" i="1"/>
  <c r="S466" i="1"/>
  <c r="V466" i="1"/>
  <c r="W466" i="1"/>
  <c r="Z466" i="1"/>
  <c r="AA466" i="1"/>
  <c r="AD466" i="1"/>
  <c r="AE466" i="1"/>
  <c r="AH466" i="1"/>
  <c r="AI466" i="1"/>
  <c r="AL466" i="1"/>
  <c r="AM466" i="1"/>
  <c r="AP466" i="1"/>
  <c r="C466" i="1"/>
  <c r="F434" i="1"/>
  <c r="G434" i="1"/>
  <c r="J434" i="1"/>
  <c r="K434" i="1"/>
  <c r="N434" i="1"/>
  <c r="O434" i="1"/>
  <c r="R434" i="1"/>
  <c r="S434" i="1"/>
  <c r="V434" i="1"/>
  <c r="W434" i="1"/>
  <c r="Z434" i="1"/>
  <c r="AA434" i="1"/>
  <c r="AD434" i="1"/>
  <c r="AE434" i="1"/>
  <c r="AH434" i="1"/>
  <c r="AI434" i="1"/>
  <c r="AL434" i="1"/>
  <c r="AM434" i="1"/>
  <c r="AP434" i="1"/>
  <c r="C434" i="1"/>
  <c r="F386" i="1"/>
  <c r="G386" i="1"/>
  <c r="J386" i="1"/>
  <c r="K386" i="1"/>
  <c r="N386" i="1"/>
  <c r="O386" i="1"/>
  <c r="R386" i="1"/>
  <c r="S386" i="1"/>
  <c r="V386" i="1"/>
  <c r="W386" i="1"/>
  <c r="Z386" i="1"/>
  <c r="AA386" i="1"/>
  <c r="AD386" i="1"/>
  <c r="AE386" i="1"/>
  <c r="AH386" i="1"/>
  <c r="AI386" i="1"/>
  <c r="AL386" i="1"/>
  <c r="AM386" i="1"/>
  <c r="AP386" i="1"/>
  <c r="C386" i="1"/>
  <c r="F376" i="1"/>
  <c r="G376" i="1"/>
  <c r="J376" i="1"/>
  <c r="K376" i="1"/>
  <c r="N376" i="1"/>
  <c r="O376" i="1"/>
  <c r="R376" i="1"/>
  <c r="S376" i="1"/>
  <c r="V376" i="1"/>
  <c r="AA376" i="1"/>
  <c r="AD376" i="1"/>
  <c r="AE376" i="1"/>
  <c r="AH376" i="1"/>
  <c r="AI376" i="1"/>
  <c r="AL376" i="1"/>
  <c r="AM376" i="1"/>
  <c r="AP376" i="1"/>
  <c r="C376" i="1"/>
  <c r="F328" i="1"/>
  <c r="G328" i="1"/>
  <c r="J328" i="1"/>
  <c r="K328" i="1"/>
  <c r="N328" i="1"/>
  <c r="O328" i="1"/>
  <c r="R328" i="1"/>
  <c r="S328" i="1"/>
  <c r="V328" i="1"/>
  <c r="W328" i="1"/>
  <c r="Z328" i="1"/>
  <c r="AA328" i="1"/>
  <c r="AD328" i="1"/>
  <c r="AE328" i="1"/>
  <c r="AH328" i="1"/>
  <c r="AI328" i="1"/>
  <c r="AL328" i="1"/>
  <c r="AM328" i="1"/>
  <c r="AP328" i="1"/>
  <c r="C328" i="1"/>
  <c r="F255" i="1"/>
  <c r="G255" i="1"/>
  <c r="J255" i="1"/>
  <c r="K255" i="1"/>
  <c r="N255" i="1"/>
  <c r="O255" i="1"/>
  <c r="R255" i="1"/>
  <c r="S255" i="1"/>
  <c r="V255" i="1"/>
  <c r="W255" i="1"/>
  <c r="Z255" i="1"/>
  <c r="AA255" i="1"/>
  <c r="AD255" i="1"/>
  <c r="AE255" i="1"/>
  <c r="AH255" i="1"/>
  <c r="AI255" i="1"/>
  <c r="AL255" i="1"/>
  <c r="AM255" i="1"/>
  <c r="AP255" i="1"/>
  <c r="C255" i="1"/>
  <c r="F239" i="1"/>
  <c r="G239" i="1"/>
  <c r="J239" i="1"/>
  <c r="K239" i="1"/>
  <c r="N239" i="1"/>
  <c r="O239" i="1"/>
  <c r="R239" i="1"/>
  <c r="S239" i="1"/>
  <c r="V239" i="1"/>
  <c r="W239" i="1"/>
  <c r="Z239" i="1"/>
  <c r="AA239" i="1"/>
  <c r="AD239" i="1"/>
  <c r="AE239" i="1"/>
  <c r="AH239" i="1"/>
  <c r="AI239" i="1"/>
  <c r="AL239" i="1"/>
  <c r="AM239" i="1"/>
  <c r="AP239" i="1"/>
  <c r="C239" i="1"/>
  <c r="F223" i="1"/>
  <c r="G223" i="1"/>
  <c r="J223" i="1"/>
  <c r="K223" i="1"/>
  <c r="N223" i="1"/>
  <c r="O223" i="1"/>
  <c r="R223" i="1"/>
  <c r="S223" i="1"/>
  <c r="V223" i="1"/>
  <c r="AA223" i="1"/>
  <c r="AD223" i="1"/>
  <c r="AE223" i="1"/>
  <c r="AH223" i="1"/>
  <c r="AI223" i="1"/>
  <c r="AL223" i="1"/>
  <c r="AM223" i="1"/>
  <c r="AP223" i="1"/>
  <c r="C223" i="1"/>
  <c r="F209" i="1"/>
  <c r="G209" i="1"/>
  <c r="J209" i="1"/>
  <c r="K209" i="1"/>
  <c r="N209" i="1"/>
  <c r="O209" i="1"/>
  <c r="R209" i="1"/>
  <c r="S209" i="1"/>
  <c r="V209" i="1"/>
  <c r="W209" i="1"/>
  <c r="Z209" i="1"/>
  <c r="AA209" i="1"/>
  <c r="AD209" i="1"/>
  <c r="AE209" i="1"/>
  <c r="AH209" i="1"/>
  <c r="AI209" i="1"/>
  <c r="AL209" i="1"/>
  <c r="AM209" i="1"/>
  <c r="AP209" i="1"/>
  <c r="C209" i="1"/>
  <c r="F195" i="1"/>
  <c r="G195" i="1"/>
  <c r="J195" i="1"/>
  <c r="K195" i="1"/>
  <c r="N195" i="1"/>
  <c r="O195" i="1"/>
  <c r="R195" i="1"/>
  <c r="S195" i="1"/>
  <c r="V195" i="1"/>
  <c r="W195" i="1"/>
  <c r="Z195" i="1"/>
  <c r="AA195" i="1"/>
  <c r="AD195" i="1"/>
  <c r="AE195" i="1"/>
  <c r="AH195" i="1"/>
  <c r="AI195" i="1"/>
  <c r="AL195" i="1"/>
  <c r="AM195" i="1"/>
  <c r="AP195" i="1"/>
  <c r="C195" i="1"/>
  <c r="F183" i="1"/>
  <c r="G183" i="1"/>
  <c r="J183" i="1"/>
  <c r="K183" i="1"/>
  <c r="N183" i="1"/>
  <c r="O183" i="1"/>
  <c r="R183" i="1"/>
  <c r="S183" i="1"/>
  <c r="V183" i="1"/>
  <c r="W183" i="1"/>
  <c r="Z183" i="1"/>
  <c r="AA183" i="1"/>
  <c r="AD183" i="1"/>
  <c r="AE183" i="1"/>
  <c r="AH183" i="1"/>
  <c r="AI183" i="1"/>
  <c r="AL183" i="1"/>
  <c r="AM183" i="1"/>
  <c r="AP183" i="1"/>
  <c r="C183" i="1"/>
  <c r="F135" i="1"/>
  <c r="G135" i="1"/>
  <c r="J135" i="1"/>
  <c r="K135" i="1"/>
  <c r="N135" i="1"/>
  <c r="O135" i="1"/>
  <c r="R135" i="1"/>
  <c r="S135" i="1"/>
  <c r="V135" i="1"/>
  <c r="W135" i="1"/>
  <c r="Z135" i="1"/>
  <c r="AA135" i="1"/>
  <c r="AD135" i="1"/>
  <c r="AE135" i="1"/>
  <c r="AH135" i="1"/>
  <c r="AI135" i="1"/>
  <c r="AL135" i="1"/>
  <c r="AM135" i="1"/>
  <c r="AP135" i="1"/>
  <c r="C135" i="1"/>
  <c r="F127" i="1"/>
  <c r="G127" i="1"/>
  <c r="J127" i="1"/>
  <c r="K127" i="1"/>
  <c r="N127" i="1"/>
  <c r="O127" i="1"/>
  <c r="R127" i="1"/>
  <c r="S127" i="1"/>
  <c r="V127" i="1"/>
  <c r="W127" i="1"/>
  <c r="Z127" i="1"/>
  <c r="AA127" i="1"/>
  <c r="AD127" i="1"/>
  <c r="AE127" i="1"/>
  <c r="AH127" i="1"/>
  <c r="AI127" i="1"/>
  <c r="AL127" i="1"/>
  <c r="AM127" i="1"/>
  <c r="AP127" i="1"/>
  <c r="C127" i="1"/>
  <c r="F106" i="1"/>
  <c r="G106" i="1"/>
  <c r="J106" i="1"/>
  <c r="K106" i="1"/>
  <c r="N106" i="1"/>
  <c r="O106" i="1"/>
  <c r="R106" i="1"/>
  <c r="S106" i="1"/>
  <c r="V106" i="1"/>
  <c r="W106" i="1"/>
  <c r="Z106" i="1"/>
  <c r="AA106" i="1"/>
  <c r="AD106" i="1"/>
  <c r="AE106" i="1"/>
  <c r="AH106" i="1"/>
  <c r="AI106" i="1"/>
  <c r="AL106" i="1"/>
  <c r="AM106" i="1"/>
  <c r="AP106" i="1"/>
  <c r="C106" i="1"/>
  <c r="F91" i="1"/>
  <c r="G91" i="1"/>
  <c r="J91" i="1"/>
  <c r="K91" i="1"/>
  <c r="N91" i="1"/>
  <c r="O91" i="1"/>
  <c r="R91" i="1"/>
  <c r="S91" i="1"/>
  <c r="V91" i="1"/>
  <c r="W91" i="1"/>
  <c r="Z91" i="1"/>
  <c r="AA91" i="1"/>
  <c r="AD91" i="1"/>
  <c r="AE91" i="1"/>
  <c r="AH91" i="1"/>
  <c r="AI91" i="1"/>
  <c r="AL91" i="1"/>
  <c r="AM91" i="1"/>
  <c r="AP91" i="1"/>
  <c r="C91" i="1"/>
  <c r="F77" i="1"/>
  <c r="G77" i="1"/>
  <c r="J77" i="1"/>
  <c r="K77" i="1"/>
  <c r="N77" i="1"/>
  <c r="O77" i="1"/>
  <c r="R77" i="1"/>
  <c r="S77" i="1"/>
  <c r="V77" i="1"/>
  <c r="W77" i="1"/>
  <c r="AA77" i="1"/>
  <c r="AD77" i="1"/>
  <c r="AE77" i="1"/>
  <c r="AH77" i="1"/>
  <c r="AI77" i="1"/>
  <c r="AL77" i="1"/>
  <c r="AM77" i="1"/>
  <c r="AP77" i="1"/>
  <c r="C77" i="1"/>
  <c r="F63" i="1"/>
  <c r="G63" i="1"/>
  <c r="J63" i="1"/>
  <c r="K63" i="1"/>
  <c r="N63" i="1"/>
  <c r="O63" i="1"/>
  <c r="R63" i="1"/>
  <c r="S63" i="1"/>
  <c r="V63" i="1"/>
  <c r="W63" i="1"/>
  <c r="Z63" i="1"/>
  <c r="AA63" i="1"/>
  <c r="AD63" i="1"/>
  <c r="AE63" i="1"/>
  <c r="AH63" i="1"/>
  <c r="AI63" i="1"/>
  <c r="AL63" i="1"/>
  <c r="AM63" i="1"/>
  <c r="AP63" i="1"/>
  <c r="C63" i="1"/>
  <c r="F53" i="1"/>
  <c r="G53" i="1"/>
  <c r="J53" i="1"/>
  <c r="K53" i="1"/>
  <c r="N53" i="1"/>
  <c r="O53" i="1"/>
  <c r="R53" i="1"/>
  <c r="S53" i="1"/>
  <c r="V53" i="1"/>
  <c r="W53" i="1"/>
  <c r="Z53" i="1"/>
  <c r="AA53" i="1"/>
  <c r="AD53" i="1"/>
  <c r="AE53" i="1"/>
  <c r="AH53" i="1"/>
  <c r="AI53" i="1"/>
  <c r="AL53" i="1"/>
  <c r="AM53" i="1"/>
  <c r="AP53" i="1"/>
  <c r="C53" i="1"/>
  <c r="F41" i="1"/>
  <c r="G41" i="1"/>
  <c r="J41" i="1"/>
  <c r="K41" i="1"/>
  <c r="N41" i="1"/>
  <c r="O41" i="1"/>
  <c r="R41" i="1"/>
  <c r="S41" i="1"/>
  <c r="V41" i="1"/>
  <c r="W41" i="1"/>
  <c r="Z41" i="1"/>
  <c r="AA41" i="1"/>
  <c r="AD41" i="1"/>
  <c r="AE41" i="1"/>
  <c r="AH41" i="1"/>
  <c r="AI41" i="1"/>
  <c r="AL41" i="1"/>
  <c r="AM41" i="1"/>
  <c r="AP41" i="1"/>
  <c r="C41" i="1"/>
  <c r="R32" i="1"/>
  <c r="S32" i="1"/>
  <c r="V32" i="1"/>
  <c r="W32" i="1"/>
  <c r="Z32" i="1"/>
  <c r="AA32" i="1"/>
  <c r="AD32" i="1"/>
  <c r="AE32" i="1"/>
  <c r="AH32" i="1"/>
  <c r="AI32" i="1"/>
  <c r="AL32" i="1"/>
  <c r="AM32" i="1"/>
  <c r="AP32" i="1"/>
  <c r="O32" i="1"/>
  <c r="K32" i="1"/>
  <c r="G32" i="1"/>
  <c r="AP524" i="1"/>
  <c r="AM524" i="1"/>
  <c r="AL524" i="1"/>
  <c r="AI524" i="1"/>
  <c r="AH524" i="1"/>
  <c r="AE524" i="1"/>
  <c r="AD524" i="1"/>
  <c r="AA524" i="1"/>
  <c r="Z524" i="1"/>
  <c r="W524" i="1"/>
  <c r="V524" i="1"/>
  <c r="S524" i="1"/>
  <c r="R524" i="1"/>
  <c r="O524" i="1"/>
  <c r="N524" i="1"/>
  <c r="K524" i="1"/>
  <c r="J524" i="1"/>
  <c r="G524" i="1"/>
  <c r="F524" i="1"/>
  <c r="C524" i="1"/>
  <c r="AP476" i="1"/>
  <c r="AM476" i="1"/>
  <c r="AL476" i="1"/>
  <c r="AI476" i="1"/>
  <c r="AH476" i="1"/>
  <c r="AE476" i="1"/>
  <c r="AD476" i="1"/>
  <c r="AA476" i="1"/>
  <c r="Z476" i="1"/>
  <c r="W476" i="1"/>
  <c r="V476" i="1"/>
  <c r="S476" i="1"/>
  <c r="R476" i="1"/>
  <c r="O476" i="1"/>
  <c r="N476" i="1"/>
  <c r="K476" i="1"/>
  <c r="J476" i="1"/>
  <c r="G476" i="1"/>
  <c r="F476" i="1"/>
  <c r="C476" i="1"/>
  <c r="AP452" i="1"/>
  <c r="AM452" i="1"/>
  <c r="AL452" i="1"/>
  <c r="AI452" i="1"/>
  <c r="AH452" i="1"/>
  <c r="AE452" i="1"/>
  <c r="AD452" i="1"/>
  <c r="AA452" i="1"/>
  <c r="Z452" i="1"/>
  <c r="W452" i="1"/>
  <c r="V452" i="1"/>
  <c r="S452" i="1"/>
  <c r="R452" i="1"/>
  <c r="O452" i="1"/>
  <c r="N452" i="1"/>
  <c r="K452" i="1"/>
  <c r="J452" i="1"/>
  <c r="G452" i="1"/>
  <c r="F452" i="1"/>
  <c r="C452" i="1"/>
  <c r="AP444" i="1"/>
  <c r="AM444" i="1"/>
  <c r="AL444" i="1"/>
  <c r="AI444" i="1"/>
  <c r="AH444" i="1"/>
  <c r="AE444" i="1"/>
  <c r="AD444" i="1"/>
  <c r="AA444" i="1"/>
  <c r="Z444" i="1"/>
  <c r="W444" i="1"/>
  <c r="V444" i="1"/>
  <c r="S444" i="1"/>
  <c r="R444" i="1"/>
  <c r="O444" i="1"/>
  <c r="N444" i="1"/>
  <c r="K444" i="1"/>
  <c r="J444" i="1"/>
  <c r="G444" i="1"/>
  <c r="F444" i="1"/>
  <c r="C444" i="1"/>
  <c r="AP425" i="1"/>
  <c r="AM425" i="1"/>
  <c r="AL425" i="1"/>
  <c r="AI425" i="1"/>
  <c r="AH425" i="1"/>
  <c r="AE425" i="1"/>
  <c r="AD425" i="1"/>
  <c r="AA425" i="1"/>
  <c r="Z425" i="1"/>
  <c r="W425" i="1"/>
  <c r="V425" i="1"/>
  <c r="S425" i="1"/>
  <c r="R425" i="1"/>
  <c r="O425" i="1"/>
  <c r="N425" i="1"/>
  <c r="K425" i="1"/>
  <c r="J425" i="1"/>
  <c r="G425" i="1"/>
  <c r="F425" i="1"/>
  <c r="C425" i="1"/>
  <c r="AM416" i="1"/>
  <c r="AL416" i="1"/>
  <c r="AI416" i="1"/>
  <c r="AH416" i="1"/>
  <c r="AE416" i="1"/>
  <c r="AD416" i="1"/>
  <c r="AA416" i="1"/>
  <c r="Z416" i="1"/>
  <c r="W416" i="1"/>
  <c r="V416" i="1"/>
  <c r="S416" i="1"/>
  <c r="R416" i="1"/>
  <c r="O416" i="1"/>
  <c r="N416" i="1"/>
  <c r="K416" i="1"/>
  <c r="J416" i="1"/>
  <c r="G416" i="1"/>
  <c r="F416" i="1"/>
  <c r="C416" i="1"/>
  <c r="AP401" i="1"/>
  <c r="AM401" i="1"/>
  <c r="AL401" i="1"/>
  <c r="AI401" i="1"/>
  <c r="AH401" i="1"/>
  <c r="AE401" i="1"/>
  <c r="AD401" i="1"/>
  <c r="AA401" i="1"/>
  <c r="Z401" i="1"/>
  <c r="W401" i="1"/>
  <c r="V401" i="1"/>
  <c r="S401" i="1"/>
  <c r="R401" i="1"/>
  <c r="O401" i="1"/>
  <c r="N401" i="1"/>
  <c r="K401" i="1"/>
  <c r="J401" i="1"/>
  <c r="G401" i="1"/>
  <c r="F401" i="1"/>
  <c r="C401" i="1"/>
  <c r="AP360" i="1"/>
  <c r="AM360" i="1"/>
  <c r="AL360" i="1"/>
  <c r="AI360" i="1"/>
  <c r="AH360" i="1"/>
  <c r="AE360" i="1"/>
  <c r="AD360" i="1"/>
  <c r="AA360" i="1"/>
  <c r="Z360" i="1"/>
  <c r="W360" i="1"/>
  <c r="V360" i="1"/>
  <c r="S360" i="1"/>
  <c r="R360" i="1"/>
  <c r="O360" i="1"/>
  <c r="N360" i="1"/>
  <c r="K360" i="1"/>
  <c r="J360" i="1"/>
  <c r="G360" i="1"/>
  <c r="F360" i="1"/>
  <c r="C360" i="1"/>
  <c r="AP350" i="1"/>
  <c r="AM350" i="1"/>
  <c r="AL350" i="1"/>
  <c r="AI350" i="1"/>
  <c r="AH350" i="1"/>
  <c r="AE350" i="1"/>
  <c r="AD350" i="1"/>
  <c r="AA350" i="1"/>
  <c r="Z350" i="1"/>
  <c r="W350" i="1"/>
  <c r="V350" i="1"/>
  <c r="S350" i="1"/>
  <c r="R350" i="1"/>
  <c r="O350" i="1"/>
  <c r="N350" i="1"/>
  <c r="K350" i="1"/>
  <c r="J350" i="1"/>
  <c r="G350" i="1"/>
  <c r="F350" i="1"/>
  <c r="C350" i="1"/>
  <c r="AP339" i="1"/>
  <c r="AM339" i="1"/>
  <c r="AL339" i="1"/>
  <c r="AI339" i="1"/>
  <c r="AH339" i="1"/>
  <c r="AE339" i="1"/>
  <c r="AD339" i="1"/>
  <c r="AA339" i="1"/>
  <c r="Z339" i="1"/>
  <c r="W339" i="1"/>
  <c r="V339" i="1"/>
  <c r="S339" i="1"/>
  <c r="R339" i="1"/>
  <c r="O339" i="1"/>
  <c r="N339" i="1"/>
  <c r="K339" i="1"/>
  <c r="J339" i="1"/>
  <c r="G339" i="1"/>
  <c r="F339" i="1"/>
  <c r="C339" i="1"/>
  <c r="AP316" i="1"/>
  <c r="AM316" i="1"/>
  <c r="AL316" i="1"/>
  <c r="AI316" i="1"/>
  <c r="AH316" i="1"/>
  <c r="AE316" i="1"/>
  <c r="AD316" i="1"/>
  <c r="AA316" i="1"/>
  <c r="Z316" i="1"/>
  <c r="W316" i="1"/>
  <c r="V316" i="1"/>
  <c r="S316" i="1"/>
  <c r="R316" i="1"/>
  <c r="O316" i="1"/>
  <c r="N316" i="1"/>
  <c r="K316" i="1"/>
  <c r="J316" i="1"/>
  <c r="G316" i="1"/>
  <c r="F316" i="1"/>
  <c r="C316" i="1"/>
  <c r="AP298" i="1"/>
  <c r="AM298" i="1"/>
  <c r="AL298" i="1"/>
  <c r="AI298" i="1"/>
  <c r="AH298" i="1"/>
  <c r="AE298" i="1"/>
  <c r="AD298" i="1"/>
  <c r="AA298" i="1"/>
  <c r="Z298" i="1"/>
  <c r="W298" i="1"/>
  <c r="V298" i="1"/>
  <c r="S298" i="1"/>
  <c r="R298" i="1"/>
  <c r="O298" i="1"/>
  <c r="N298" i="1"/>
  <c r="K298" i="1"/>
  <c r="J298" i="1"/>
  <c r="G298" i="1"/>
  <c r="F298" i="1"/>
  <c r="C298" i="1"/>
  <c r="AP284" i="1"/>
  <c r="AM284" i="1"/>
  <c r="AL284" i="1"/>
  <c r="AI284" i="1"/>
  <c r="AH284" i="1"/>
  <c r="AE284" i="1"/>
  <c r="AD284" i="1"/>
  <c r="AA284" i="1"/>
  <c r="Z284" i="1"/>
  <c r="W284" i="1"/>
  <c r="V284" i="1"/>
  <c r="S284" i="1"/>
  <c r="R284" i="1"/>
  <c r="O284" i="1"/>
  <c r="N284" i="1"/>
  <c r="K284" i="1"/>
  <c r="J284" i="1"/>
  <c r="G284" i="1"/>
  <c r="F284" i="1"/>
  <c r="C284" i="1"/>
  <c r="AP268" i="1"/>
  <c r="AM268" i="1"/>
  <c r="AL268" i="1"/>
  <c r="AI268" i="1"/>
  <c r="AH268" i="1"/>
  <c r="AE268" i="1"/>
  <c r="AD268" i="1"/>
  <c r="AA268" i="1"/>
  <c r="Z268" i="1"/>
  <c r="W268" i="1"/>
  <c r="V268" i="1"/>
  <c r="S268" i="1"/>
  <c r="R268" i="1"/>
  <c r="O268" i="1"/>
  <c r="N268" i="1"/>
  <c r="K268" i="1"/>
  <c r="J268" i="1"/>
  <c r="G268" i="1"/>
  <c r="F268" i="1"/>
  <c r="C268" i="1"/>
  <c r="F21" i="1"/>
  <c r="F32" i="1" s="1"/>
  <c r="G21" i="1"/>
  <c r="J21" i="1"/>
  <c r="J32" i="1" s="1"/>
  <c r="K21" i="1"/>
  <c r="N21" i="1"/>
  <c r="N32" i="1" s="1"/>
  <c r="O21" i="1"/>
  <c r="R21" i="1"/>
  <c r="S21" i="1"/>
  <c r="V21" i="1"/>
  <c r="W21" i="1"/>
  <c r="Z21" i="1"/>
  <c r="AA21" i="1"/>
  <c r="AE21" i="1"/>
  <c r="AI21" i="1"/>
  <c r="AL21" i="1"/>
  <c r="AM21" i="1"/>
  <c r="AP21" i="1"/>
  <c r="C21" i="1"/>
  <c r="AU476" i="1" l="1"/>
  <c r="AU452" i="1"/>
  <c r="AU386" i="1"/>
  <c r="AU350" i="1"/>
  <c r="AV499" i="1"/>
  <c r="AV452" i="1"/>
  <c r="AV386" i="1"/>
  <c r="AV350" i="1"/>
  <c r="AU524" i="1"/>
  <c r="AU444" i="1"/>
  <c r="AU434" i="1"/>
  <c r="AU425" i="1"/>
  <c r="AU360" i="1"/>
  <c r="AU339" i="1"/>
  <c r="AV444" i="1"/>
  <c r="AV434" i="1"/>
  <c r="AV360" i="1"/>
  <c r="AU466" i="1"/>
  <c r="AV425" i="1"/>
  <c r="AV339" i="1"/>
  <c r="AV32" i="1"/>
  <c r="AU499" i="1"/>
  <c r="AU533" i="1"/>
  <c r="AU163" i="1"/>
  <c r="AU268" i="1"/>
  <c r="AV401" i="1"/>
  <c r="AV268" i="1"/>
  <c r="AV533" i="1"/>
  <c r="AV513" i="1"/>
  <c r="AV476" i="1"/>
  <c r="AV466" i="1"/>
  <c r="AV376" i="1"/>
  <c r="AV328" i="1"/>
  <c r="AV316" i="1"/>
  <c r="AV298" i="1"/>
  <c r="AV524" i="1"/>
  <c r="AV416" i="1"/>
  <c r="AU513" i="1"/>
  <c r="AU401" i="1"/>
  <c r="AU376" i="1"/>
  <c r="AU328" i="1"/>
  <c r="AU316" i="1"/>
  <c r="AU298" i="1"/>
  <c r="AV163" i="1"/>
  <c r="AU487" i="1"/>
  <c r="AV487" i="1"/>
  <c r="AV284" i="1"/>
  <c r="AU284" i="1"/>
  <c r="AU416" i="1"/>
  <c r="AU195" i="1"/>
  <c r="AV135" i="1"/>
  <c r="AV91" i="1"/>
  <c r="AQ534" i="1"/>
  <c r="AT534" i="1"/>
  <c r="AU53" i="1"/>
  <c r="AU77" i="1"/>
  <c r="AU41" i="1"/>
  <c r="AU183" i="1"/>
  <c r="AU106" i="1"/>
  <c r="AU255" i="1"/>
  <c r="AU209" i="1"/>
  <c r="AU223" i="1"/>
  <c r="AU239" i="1"/>
  <c r="AV106" i="1"/>
  <c r="AU91" i="1"/>
  <c r="AV21" i="1"/>
  <c r="AV77" i="1"/>
  <c r="AV183" i="1"/>
  <c r="AV195" i="1"/>
  <c r="AV209" i="1"/>
  <c r="AV255" i="1"/>
  <c r="AU32" i="1"/>
  <c r="AV41" i="1"/>
  <c r="AV127" i="1"/>
  <c r="AV63" i="1"/>
  <c r="AU135" i="1"/>
  <c r="AU63" i="1"/>
  <c r="AV223" i="1"/>
  <c r="AV239" i="1"/>
  <c r="AP534" i="1"/>
  <c r="AV53" i="1"/>
  <c r="Z534" i="1"/>
  <c r="AU127" i="1"/>
  <c r="AL534" i="1"/>
  <c r="AD534" i="1"/>
  <c r="S534" i="1"/>
  <c r="K534" i="1"/>
  <c r="AE534" i="1"/>
  <c r="V534" i="1"/>
  <c r="N534" i="1"/>
  <c r="F534" i="1"/>
  <c r="AU21" i="1"/>
  <c r="AH534" i="1"/>
  <c r="O534" i="1"/>
  <c r="AI534" i="1"/>
  <c r="AA534" i="1"/>
  <c r="R534" i="1"/>
  <c r="J534" i="1"/>
  <c r="G534" i="1"/>
  <c r="W534" i="1"/>
  <c r="AM534" i="1"/>
  <c r="AV534" i="1" l="1"/>
  <c r="AU534" i="1"/>
  <c r="C534" i="1"/>
  <c r="C32" i="1"/>
</calcChain>
</file>

<file path=xl/sharedStrings.xml><?xml version="1.0" encoding="utf-8"?>
<sst xmlns="http://schemas.openxmlformats.org/spreadsheetml/2006/main" count="506" uniqueCount="132">
  <si>
    <t>Ser</t>
  </si>
  <si>
    <t>Rk &amp; Name</t>
  </si>
  <si>
    <t>TOB</t>
  </si>
  <si>
    <t>Loc</t>
  </si>
  <si>
    <t>Dstn</t>
  </si>
  <si>
    <t>Dt &amp; Day</t>
  </si>
  <si>
    <t>Col Bahalul</t>
  </si>
  <si>
    <t>ELDP</t>
  </si>
  <si>
    <t>ILDP</t>
  </si>
  <si>
    <t>Mil LDP</t>
  </si>
  <si>
    <t>ISDP</t>
  </si>
  <si>
    <t>Mil SDP</t>
  </si>
  <si>
    <t>LDAP</t>
  </si>
  <si>
    <t>IDAP</t>
  </si>
  <si>
    <t>FP to UNISFA/MSD Movcon Convoy</t>
  </si>
  <si>
    <t>FP to Other</t>
  </si>
  <si>
    <t>Total Operation</t>
  </si>
  <si>
    <t>Total KM</t>
  </si>
  <si>
    <t>Total</t>
  </si>
  <si>
    <t>OFFRS PTL STATE</t>
  </si>
  <si>
    <t>BANBATT-9 (UNMISS)</t>
  </si>
  <si>
    <t>Lt Col Sarah</t>
  </si>
  <si>
    <t>Lt Col Ashraf</t>
  </si>
  <si>
    <t>Lt Col Amir</t>
  </si>
  <si>
    <t>Lt Col Roquib</t>
  </si>
  <si>
    <t>Maj Taiz</t>
  </si>
  <si>
    <t>Maj Taibur</t>
  </si>
  <si>
    <t>Maj Asif</t>
  </si>
  <si>
    <t>Maj Razzak</t>
  </si>
  <si>
    <t>Maj Jannatul</t>
  </si>
  <si>
    <t>Maj Rizvan</t>
  </si>
  <si>
    <t>Maj Shafayeat</t>
  </si>
  <si>
    <t>Maj Muhib</t>
  </si>
  <si>
    <t>Maj Mahir</t>
  </si>
  <si>
    <t>Maj Ahsanul</t>
  </si>
  <si>
    <t>Maj Obaydur</t>
  </si>
  <si>
    <t>Maj Rezwanul</t>
  </si>
  <si>
    <t>Maj Harun</t>
  </si>
  <si>
    <t>Maj Sabbir</t>
  </si>
  <si>
    <t>Maj Rumman</t>
  </si>
  <si>
    <t>Maj Ahad</t>
  </si>
  <si>
    <t>Maj Manob</t>
  </si>
  <si>
    <t>Maj Samin</t>
  </si>
  <si>
    <t>Maj Takrimul</t>
  </si>
  <si>
    <t>Maj Akib</t>
  </si>
  <si>
    <t>Maj Nazmul</t>
  </si>
  <si>
    <t>Maj Afsana</t>
  </si>
  <si>
    <t>Maj Galib, Engr</t>
  </si>
  <si>
    <t>Maj Oliur</t>
  </si>
  <si>
    <t>Maj Galib, Sig</t>
  </si>
  <si>
    <t>Maj Nwoshin</t>
  </si>
  <si>
    <t>Maj Nakir</t>
  </si>
  <si>
    <t>Maj Tariq</t>
  </si>
  <si>
    <t>Capt Zihan</t>
  </si>
  <si>
    <t>Capt Farhan</t>
  </si>
  <si>
    <t>Capt Shahriar</t>
  </si>
  <si>
    <t>Capt Kamruzzaman</t>
  </si>
  <si>
    <t>Capt Rafi</t>
  </si>
  <si>
    <t>30 Mar 26 (Monday)</t>
  </si>
  <si>
    <t>27 Mar 26 Friday</t>
  </si>
  <si>
    <t>TONJ</t>
  </si>
  <si>
    <t>30 Mar 26 Monday</t>
  </si>
  <si>
    <t>THARKUENG</t>
  </si>
  <si>
    <t>23 Mar 26 Monday</t>
  </si>
  <si>
    <t>25 Mar 26 Thursday</t>
  </si>
  <si>
    <t>31 Mar 26 Tuesday</t>
  </si>
  <si>
    <t>OPERATION NAME</t>
  </si>
  <si>
    <t>04 Apr 26 Saturday</t>
  </si>
  <si>
    <t>06 Apr 26 Monday</t>
  </si>
  <si>
    <t>19 Mar 26 Thursday</t>
  </si>
  <si>
    <t>KAUJOK</t>
  </si>
  <si>
    <t>11 Apr 26 Saturday</t>
  </si>
  <si>
    <t>BAZIA</t>
  </si>
  <si>
    <t>Maj Abid, EME</t>
  </si>
  <si>
    <t>Maj Abid, AMC</t>
  </si>
  <si>
    <t>13 Apr 26 Monday</t>
  </si>
  <si>
    <t>14 Apr 26 Tuesday</t>
  </si>
  <si>
    <t>WADHALELO</t>
  </si>
  <si>
    <t>15 Apr 26 Wednesday</t>
  </si>
  <si>
    <t>Gogrial</t>
  </si>
  <si>
    <t>17 Apr 26 Thurday</t>
  </si>
  <si>
    <t>Kaujok</t>
  </si>
  <si>
    <t>17 Apr 26 Friday</t>
  </si>
  <si>
    <t>WAU</t>
  </si>
  <si>
    <t>20 Apr 26 Monday</t>
  </si>
  <si>
    <t>20-23 Apr 26</t>
  </si>
  <si>
    <t>AWEIL</t>
  </si>
  <si>
    <t>21 Apr 26 Tuesday</t>
  </si>
  <si>
    <t>22 Apr 26 Wednesday</t>
  </si>
  <si>
    <t xml:space="preserve">22 Apr 26 Wednesday </t>
  </si>
  <si>
    <t>TURALEI</t>
  </si>
  <si>
    <t xml:space="preserve">23 Apr 26 Thursday </t>
  </si>
  <si>
    <t>GHANNA</t>
  </si>
  <si>
    <t>BAGGARI</t>
  </si>
  <si>
    <t>24 Apr 26 Thursday</t>
  </si>
  <si>
    <t xml:space="preserve">24 Apr 26 Wednesday </t>
  </si>
  <si>
    <t>16 Apr 26 Thurdsay</t>
  </si>
  <si>
    <t>ROCRODONG</t>
  </si>
  <si>
    <t>26 Apr 26 Sunday</t>
  </si>
  <si>
    <t>Roberto Town</t>
  </si>
  <si>
    <t>27 Apr 26 Monday</t>
  </si>
  <si>
    <t>KUAJIENA (CIMIC)</t>
  </si>
  <si>
    <t>28 Apr 26 Tuesday</t>
  </si>
  <si>
    <t>CT Ptl</t>
  </si>
  <si>
    <t>23 Apr 2026 Thursday</t>
  </si>
  <si>
    <t>WAU Town</t>
  </si>
  <si>
    <t>29 Apr 26 Wednesday</t>
  </si>
  <si>
    <t>MBORO</t>
  </si>
  <si>
    <t xml:space="preserve">30 Apr 26 Thursday </t>
  </si>
  <si>
    <t xml:space="preserve"> Apr 26 Thursday</t>
  </si>
  <si>
    <t>01 May 26 Friday</t>
  </si>
  <si>
    <t>02 May 26 Saturday</t>
  </si>
  <si>
    <t>03 May 26 Surday</t>
  </si>
  <si>
    <t>05 May 26 Tuesday</t>
  </si>
  <si>
    <t>04 May 2026 Tuesday</t>
  </si>
  <si>
    <t>06 May 26 Wednesday</t>
  </si>
  <si>
    <t>04 May 26 Monday</t>
  </si>
  <si>
    <t>08 May 2026 Thursday</t>
  </si>
  <si>
    <t>08 May 26 Thursday</t>
  </si>
  <si>
    <t>07 May 26 Thursday</t>
  </si>
  <si>
    <t>09 May 26 Sunday</t>
  </si>
  <si>
    <t>10 May 26 Sunday</t>
  </si>
  <si>
    <t>12 May 26 Tuesday</t>
  </si>
  <si>
    <t>ROBERTO</t>
  </si>
  <si>
    <t xml:space="preserve">13 May 26 Wednesday </t>
  </si>
  <si>
    <t>13 May 26 Wednesday</t>
  </si>
  <si>
    <t>11 May 26 Monday</t>
  </si>
  <si>
    <t>14 May Thursday 2026</t>
  </si>
  <si>
    <t>WAU (LOYOLA)</t>
  </si>
  <si>
    <t>14 May 26 Thursday</t>
  </si>
  <si>
    <t>15 May Friday 2026</t>
  </si>
  <si>
    <t>22 Apr to 15 May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</si>
</sst>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6" fillId="4" borderId="1" xfId="0" applyFont="1" applyFill="1" applyBorder="1"/>
    <xf numFmtId="0" fontId="6" fillId="4" borderId="6" xfId="0" applyFont="1" applyFill="1" applyBorder="1"/>
    <xf numFmtId="0" fontId="4" fillId="4" borderId="0" xfId="0" applyFont="1" applyFill="1" applyAlignment="1">
      <alignment horizontal="center"/>
    </xf>
    <xf numFmtId="0" fontId="0" fillId="0" borderId="8" xfId="0" applyBorder="1"/>
    <xf numFmtId="0" fontId="2" fillId="2" borderId="0" xfId="0" applyFont="1" applyFill="1"/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4" fillId="4" borderId="0" xfId="0" applyFont="1" applyFill="1"/>
    <xf numFmtId="0" fontId="4" fillId="3" borderId="0" xfId="0" applyFont="1" applyFill="1"/>
    <xf numFmtId="0" fontId="0" fillId="4" borderId="0" xfId="0" applyFill="1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" fillId="5" borderId="0" xfId="0" applyFont="1" applyFill="1"/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0" xfId="0" applyFont="1" applyFill="1"/>
    <xf numFmtId="0" fontId="6" fillId="5" borderId="1" xfId="0" applyFont="1" applyFill="1" applyBorder="1"/>
    <xf numFmtId="0" fontId="6" fillId="4" borderId="9" xfId="0" applyFont="1" applyFill="1" applyBorder="1"/>
    <xf numFmtId="0" fontId="4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/>
    </xf>
    <xf numFmtId="0" fontId="0" fillId="5" borderId="0" xfId="0" applyFill="1"/>
    <xf numFmtId="0" fontId="3" fillId="5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5" fontId="4" fillId="3" borderId="1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 vertical="top"/>
    </xf>
    <xf numFmtId="0" fontId="4" fillId="5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7" fillId="5" borderId="5" xfId="0" applyFont="1" applyFill="1" applyBorder="1" applyAlignment="1">
      <alignment horizontal="center" vertical="top"/>
    </xf>
    <xf numFmtId="0" fontId="7" fillId="5" borderId="6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/>
    </xf>
    <xf numFmtId="0" fontId="4" fillId="3" borderId="7" xfId="0" applyFont="1" applyFill="1" applyBorder="1" applyAlignment="1">
      <alignment vertical="top"/>
    </xf>
    <xf numFmtId="0" fontId="4" fillId="3" borderId="3" xfId="0" applyFont="1" applyFill="1" applyBorder="1" applyAlignment="1">
      <alignment vertical="top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2B5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51"/>
  <sheetViews>
    <sheetView tabSelected="1" zoomScale="70" zoomScaleNormal="70" workbookViewId="0">
      <pane xSplit="2" ySplit="14" topLeftCell="C471" activePane="bottomRight" state="frozen"/>
      <selection pane="topRight" activeCell="C1" sqref="C1"/>
      <selection pane="bottomLeft" activeCell="A15" sqref="A15"/>
      <selection pane="bottomRight" activeCell="P14" sqref="P14"/>
    </sheetView>
  </sheetViews>
  <sheetFormatPr baseColWidth="10" defaultColWidth="8.83203125" defaultRowHeight="15" x14ac:dyDescent="0.2"/>
  <cols>
    <col min="1" max="1" width="6.6640625" customWidth="1"/>
    <col min="2" max="2" width="14.5" customWidth="1"/>
    <col min="3" max="3" width="5.5" customWidth="1"/>
    <col min="4" max="4" width="15.5" customWidth="1"/>
    <col min="5" max="5" width="9.1640625" customWidth="1"/>
    <col min="6" max="6" width="5.83203125" customWidth="1"/>
    <col min="7" max="7" width="6.33203125" customWidth="1"/>
    <col min="8" max="8" width="9.1640625" customWidth="1"/>
    <col min="9" max="9" width="6.5" customWidth="1"/>
    <col min="10" max="10" width="5.83203125" customWidth="1"/>
    <col min="11" max="11" width="5.5" customWidth="1"/>
    <col min="12" max="12" width="9.1640625" customWidth="1"/>
    <col min="13" max="13" width="6.5" customWidth="1"/>
    <col min="14" max="14" width="5.83203125" customWidth="1"/>
    <col min="15" max="15" width="8.33203125" customWidth="1"/>
    <col min="16" max="16" width="11.83203125" customWidth="1"/>
    <col min="17" max="17" width="10.1640625" bestFit="1" customWidth="1"/>
    <col min="18" max="18" width="5.83203125" customWidth="1"/>
    <col min="19" max="19" width="5.5" customWidth="1"/>
    <col min="20" max="20" width="14.83203125" customWidth="1"/>
    <col min="21" max="21" width="13.83203125" customWidth="1"/>
    <col min="22" max="22" width="8.1640625" customWidth="1"/>
    <col min="23" max="23" width="10.33203125" customWidth="1"/>
    <col min="24" max="24" width="11.6640625" customWidth="1"/>
    <col min="25" max="25" width="12.83203125" customWidth="1"/>
    <col min="26" max="26" width="8.6640625" customWidth="1"/>
    <col min="27" max="27" width="6.5" customWidth="1"/>
    <col min="28" max="28" width="9.1640625" customWidth="1"/>
    <col min="29" max="29" width="6.5" customWidth="1"/>
    <col min="30" max="31" width="5.83203125" customWidth="1"/>
    <col min="32" max="32" width="11" customWidth="1"/>
    <col min="33" max="33" width="6.5" customWidth="1"/>
    <col min="34" max="34" width="5.83203125" customWidth="1"/>
    <col min="35" max="36" width="9.1640625" customWidth="1"/>
    <col min="37" max="37" width="6.5" customWidth="1"/>
    <col min="38" max="38" width="5.83203125" customWidth="1"/>
    <col min="39" max="39" width="9.1640625" customWidth="1"/>
    <col min="40" max="40" width="11.5" customWidth="1"/>
    <col min="41" max="41" width="9.6640625" customWidth="1"/>
    <col min="42" max="42" width="8.1640625" customWidth="1"/>
    <col min="43" max="43" width="8.1640625" style="34" customWidth="1"/>
    <col min="44" max="44" width="13.83203125" customWidth="1"/>
    <col min="45" max="45" width="14.5" customWidth="1"/>
    <col min="46" max="46" width="9.83203125" style="34" customWidth="1"/>
    <col min="47" max="47" width="18.33203125" customWidth="1"/>
    <col min="48" max="48" width="14.33203125" style="7" customWidth="1"/>
    <col min="49" max="52" width="9.1640625"/>
  </cols>
  <sheetData>
    <row r="1" spans="1:72" ht="23.25" customHeight="1" x14ac:dyDescent="0.3">
      <c r="A1" s="64" t="s">
        <v>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</row>
    <row r="2" spans="1:72" ht="23.25" customHeight="1" x14ac:dyDescent="0.3">
      <c r="A2" s="64" t="s">
        <v>20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</row>
    <row r="3" spans="1:72" x14ac:dyDescent="0.2"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spans="1:72" s="21" customFormat="1" ht="20" x14ac:dyDescent="0.15">
      <c r="A4" s="48" t="s">
        <v>0</v>
      </c>
      <c r="B4" s="48" t="s">
        <v>1</v>
      </c>
      <c r="C4" s="51" t="s">
        <v>66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3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72" s="21" customFormat="1" ht="20" hidden="1" x14ac:dyDescent="0.15">
      <c r="A5" s="49"/>
      <c r="B5" s="49"/>
      <c r="C5" s="31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3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72" s="21" customFormat="1" ht="20" hidden="1" x14ac:dyDescent="0.15">
      <c r="A6" s="49"/>
      <c r="B6" s="49"/>
      <c r="C6" s="31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72" s="21" customFormat="1" ht="20" hidden="1" x14ac:dyDescent="0.15">
      <c r="A7" s="49"/>
      <c r="B7" s="49"/>
      <c r="C7" s="31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3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72" s="21" customFormat="1" ht="20" hidden="1" x14ac:dyDescent="0.15">
      <c r="A8" s="49"/>
      <c r="B8" s="49"/>
      <c r="C8" s="31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3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72" s="21" customFormat="1" ht="20" hidden="1" x14ac:dyDescent="0.15">
      <c r="A9" s="49"/>
      <c r="B9" s="49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3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72" s="21" customFormat="1" ht="20" hidden="1" x14ac:dyDescent="0.15">
      <c r="A10" s="49"/>
      <c r="B10" s="49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3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72" s="21" customFormat="1" ht="20" hidden="1" x14ac:dyDescent="0.15">
      <c r="A11" s="49"/>
      <c r="B11" s="49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3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72" s="21" customFormat="1" ht="20" hidden="1" x14ac:dyDescent="0.15">
      <c r="A12" s="49"/>
      <c r="B12" s="49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3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72" s="21" customFormat="1" ht="20" hidden="1" x14ac:dyDescent="0.15">
      <c r="A13" s="49"/>
      <c r="B13" s="49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3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72" s="8" customFormat="1" ht="75.75" customHeight="1" x14ac:dyDescent="0.15">
      <c r="A14" s="50"/>
      <c r="B14" s="50"/>
      <c r="C14" s="35" t="s">
        <v>2</v>
      </c>
      <c r="D14" s="36" t="s">
        <v>5</v>
      </c>
      <c r="E14" s="36" t="s">
        <v>3</v>
      </c>
      <c r="F14" s="36" t="s">
        <v>4</v>
      </c>
      <c r="G14" s="35" t="s">
        <v>7</v>
      </c>
      <c r="H14" s="36" t="s">
        <v>5</v>
      </c>
      <c r="I14" s="36" t="s">
        <v>3</v>
      </c>
      <c r="J14" s="36" t="s">
        <v>4</v>
      </c>
      <c r="K14" s="35" t="s">
        <v>8</v>
      </c>
      <c r="L14" s="36" t="s">
        <v>5</v>
      </c>
      <c r="M14" s="36" t="s">
        <v>3</v>
      </c>
      <c r="N14" s="36" t="s">
        <v>4</v>
      </c>
      <c r="O14" s="35" t="s">
        <v>9</v>
      </c>
      <c r="P14" s="36" t="s">
        <v>5</v>
      </c>
      <c r="Q14" s="36" t="s">
        <v>3</v>
      </c>
      <c r="R14" s="36" t="s">
        <v>4</v>
      </c>
      <c r="S14" s="35" t="s">
        <v>10</v>
      </c>
      <c r="T14" s="36" t="s">
        <v>5</v>
      </c>
      <c r="U14" s="36" t="s">
        <v>3</v>
      </c>
      <c r="V14" s="36" t="s">
        <v>4</v>
      </c>
      <c r="W14" s="35" t="s">
        <v>11</v>
      </c>
      <c r="X14" s="36" t="s">
        <v>5</v>
      </c>
      <c r="Y14" s="36" t="s">
        <v>3</v>
      </c>
      <c r="Z14" s="36" t="s">
        <v>4</v>
      </c>
      <c r="AA14" s="35" t="s">
        <v>12</v>
      </c>
      <c r="AB14" s="36" t="s">
        <v>5</v>
      </c>
      <c r="AC14" s="36" t="s">
        <v>3</v>
      </c>
      <c r="AD14" s="36" t="s">
        <v>4</v>
      </c>
      <c r="AE14" s="35" t="s">
        <v>13</v>
      </c>
      <c r="AF14" s="36" t="s">
        <v>5</v>
      </c>
      <c r="AG14" s="36" t="s">
        <v>3</v>
      </c>
      <c r="AH14" s="36" t="s">
        <v>4</v>
      </c>
      <c r="AI14" s="16" t="s">
        <v>14</v>
      </c>
      <c r="AJ14" s="36" t="s">
        <v>5</v>
      </c>
      <c r="AK14" s="36" t="s">
        <v>3</v>
      </c>
      <c r="AL14" s="36" t="s">
        <v>4</v>
      </c>
      <c r="AM14" s="16" t="s">
        <v>15</v>
      </c>
      <c r="AN14" s="36" t="s">
        <v>5</v>
      </c>
      <c r="AO14" s="36" t="s">
        <v>3</v>
      </c>
      <c r="AP14" s="36" t="s">
        <v>4</v>
      </c>
      <c r="AQ14" s="16" t="s">
        <v>103</v>
      </c>
      <c r="AR14" s="36" t="s">
        <v>5</v>
      </c>
      <c r="AS14" s="36" t="s">
        <v>3</v>
      </c>
      <c r="AT14" s="35" t="s">
        <v>4</v>
      </c>
      <c r="AU14" s="16" t="s">
        <v>16</v>
      </c>
      <c r="AV14" s="16" t="s">
        <v>17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</row>
    <row r="15" spans="1:72" s="11" customFormat="1" ht="28" x14ac:dyDescent="0.15">
      <c r="A15" s="45">
        <v>1</v>
      </c>
      <c r="B15" s="42" t="s">
        <v>6</v>
      </c>
      <c r="C15" s="9">
        <v>0</v>
      </c>
      <c r="D15" s="2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29">
        <v>0</v>
      </c>
      <c r="M15" s="9">
        <v>0</v>
      </c>
      <c r="N15" s="9">
        <v>0</v>
      </c>
      <c r="O15" s="9">
        <v>0</v>
      </c>
      <c r="P15" s="29">
        <v>0</v>
      </c>
      <c r="Q15" s="9">
        <v>0</v>
      </c>
      <c r="R15" s="9">
        <v>0</v>
      </c>
      <c r="S15" s="9">
        <v>0</v>
      </c>
      <c r="T15" s="29">
        <v>0</v>
      </c>
      <c r="U15" s="9">
        <v>0</v>
      </c>
      <c r="V15" s="9">
        <v>0</v>
      </c>
      <c r="W15" s="9">
        <v>1</v>
      </c>
      <c r="X15" s="29" t="s">
        <v>69</v>
      </c>
      <c r="Y15" s="9" t="s">
        <v>70</v>
      </c>
      <c r="Z15" s="9">
        <v>160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17">
        <v>0</v>
      </c>
      <c r="AR15" s="9">
        <v>0</v>
      </c>
      <c r="AS15" s="9">
        <v>0</v>
      </c>
      <c r="AT15" s="17">
        <v>0</v>
      </c>
      <c r="AU15" s="9">
        <f>SUM(C15+G15+K15+O15+S15+W15+AA15+AE15+AI15+AM15+AQ15)</f>
        <v>1</v>
      </c>
      <c r="AV15" s="9">
        <f>SUM(F15+J15+N15+R15+V15+Z15+AD15+AH15+AL15+AP15+AT15)</f>
        <v>160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s="11" customFormat="1" ht="31.5" customHeight="1" x14ac:dyDescent="0.15">
      <c r="A16" s="46"/>
      <c r="B16" s="43"/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17">
        <v>1</v>
      </c>
      <c r="AR16" s="37" t="s">
        <v>104</v>
      </c>
      <c r="AS16" s="9" t="s">
        <v>83</v>
      </c>
      <c r="AT16" s="17">
        <v>30</v>
      </c>
      <c r="AU16" s="9">
        <f t="shared" ref="AU16:AU20" si="0">SUM(C16+G16+K16+O16+S16+W16+AA16+AE16+AI16+AM16+AQ16)</f>
        <v>1</v>
      </c>
      <c r="AV16" s="9">
        <f t="shared" ref="AV16:AV20" si="1">SUM(F16+J16+N16+R16+V16+Z16+AD16+AH16+AL16+AP16+AT16)</f>
        <v>30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s="11" customFormat="1" ht="28" x14ac:dyDescent="0.15">
      <c r="A17" s="46"/>
      <c r="B17" s="43"/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1</v>
      </c>
      <c r="AR17" s="29" t="s">
        <v>127</v>
      </c>
      <c r="AS17" s="9" t="s">
        <v>128</v>
      </c>
      <c r="AT17" s="9">
        <v>40</v>
      </c>
      <c r="AU17" s="9">
        <f t="shared" si="0"/>
        <v>1</v>
      </c>
      <c r="AV17" s="9">
        <f t="shared" si="1"/>
        <v>40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s="11" customFormat="1" ht="13" x14ac:dyDescent="0.15">
      <c r="A18" s="46"/>
      <c r="B18" s="43"/>
      <c r="C18" s="9"/>
      <c r="D18" s="29"/>
      <c r="E18" s="9"/>
      <c r="F18" s="9"/>
      <c r="G18" s="9"/>
      <c r="H18" s="9"/>
      <c r="I18" s="9"/>
      <c r="J18" s="9"/>
      <c r="K18" s="9"/>
      <c r="L18" s="29"/>
      <c r="M18" s="9"/>
      <c r="N18" s="9"/>
      <c r="O18" s="9"/>
      <c r="P18" s="29"/>
      <c r="Q18" s="9"/>
      <c r="R18" s="9"/>
      <c r="S18" s="9"/>
      <c r="T18" s="2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17"/>
      <c r="AR18" s="9"/>
      <c r="AS18" s="9"/>
      <c r="AT18" s="17"/>
      <c r="AU18" s="9">
        <f t="shared" si="0"/>
        <v>0</v>
      </c>
      <c r="AV18" s="9">
        <f t="shared" si="1"/>
        <v>0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s="11" customFormat="1" ht="13" x14ac:dyDescent="0.15">
      <c r="A19" s="46"/>
      <c r="B19" s="43"/>
      <c r="C19" s="9"/>
      <c r="D19" s="29"/>
      <c r="E19" s="9"/>
      <c r="F19" s="9"/>
      <c r="G19" s="9"/>
      <c r="H19" s="9"/>
      <c r="I19" s="9"/>
      <c r="J19" s="9"/>
      <c r="K19" s="9"/>
      <c r="L19" s="29"/>
      <c r="M19" s="9"/>
      <c r="N19" s="9"/>
      <c r="O19" s="9"/>
      <c r="P19" s="29"/>
      <c r="Q19" s="9"/>
      <c r="R19" s="9"/>
      <c r="S19" s="9"/>
      <c r="T19" s="2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17"/>
      <c r="AR19" s="9"/>
      <c r="AS19" s="9"/>
      <c r="AT19" s="17"/>
      <c r="AU19" s="9">
        <f t="shared" si="0"/>
        <v>0</v>
      </c>
      <c r="AV19" s="9">
        <f t="shared" si="1"/>
        <v>0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s="12" customFormat="1" ht="13" x14ac:dyDescent="0.15">
      <c r="A20" s="46"/>
      <c r="B20" s="44"/>
      <c r="C20" s="9"/>
      <c r="D20" s="29"/>
      <c r="E20" s="9"/>
      <c r="F20" s="9"/>
      <c r="G20" s="9"/>
      <c r="H20" s="9"/>
      <c r="I20" s="9"/>
      <c r="J20" s="9"/>
      <c r="K20" s="9"/>
      <c r="L20" s="29"/>
      <c r="M20" s="9"/>
      <c r="N20" s="9"/>
      <c r="O20" s="9"/>
      <c r="P20" s="29"/>
      <c r="Q20" s="9"/>
      <c r="R20" s="9"/>
      <c r="S20" s="9"/>
      <c r="T20" s="2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17"/>
      <c r="AR20" s="9"/>
      <c r="AS20" s="9"/>
      <c r="AT20" s="17"/>
      <c r="AU20" s="9">
        <f t="shared" si="0"/>
        <v>0</v>
      </c>
      <c r="AV20" s="9">
        <f t="shared" si="1"/>
        <v>0</v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s="18" customFormat="1" ht="13" x14ac:dyDescent="0.15">
      <c r="A21" s="47"/>
      <c r="B21" s="22" t="s">
        <v>18</v>
      </c>
      <c r="C21" s="23">
        <f>SUM(C15:C20)</f>
        <v>0</v>
      </c>
      <c r="D21" s="23"/>
      <c r="E21" s="23"/>
      <c r="F21" s="23">
        <f t="shared" ref="F21:AV21" si="2">SUM(F15:F20)</f>
        <v>0</v>
      </c>
      <c r="G21" s="23">
        <f t="shared" si="2"/>
        <v>0</v>
      </c>
      <c r="H21" s="23"/>
      <c r="I21" s="23"/>
      <c r="J21" s="23">
        <f t="shared" si="2"/>
        <v>0</v>
      </c>
      <c r="K21" s="23">
        <f t="shared" si="2"/>
        <v>0</v>
      </c>
      <c r="L21" s="23"/>
      <c r="M21" s="23"/>
      <c r="N21" s="23">
        <f t="shared" si="2"/>
        <v>0</v>
      </c>
      <c r="O21" s="23">
        <f t="shared" si="2"/>
        <v>0</v>
      </c>
      <c r="P21" s="23"/>
      <c r="Q21" s="23"/>
      <c r="R21" s="23">
        <f t="shared" si="2"/>
        <v>0</v>
      </c>
      <c r="S21" s="23">
        <f t="shared" si="2"/>
        <v>0</v>
      </c>
      <c r="T21" s="23"/>
      <c r="U21" s="23"/>
      <c r="V21" s="23">
        <f t="shared" si="2"/>
        <v>0</v>
      </c>
      <c r="W21" s="23">
        <f t="shared" si="2"/>
        <v>1</v>
      </c>
      <c r="X21" s="23"/>
      <c r="Y21" s="23"/>
      <c r="Z21" s="23">
        <f t="shared" si="2"/>
        <v>160</v>
      </c>
      <c r="AA21" s="23">
        <f t="shared" si="2"/>
        <v>0</v>
      </c>
      <c r="AB21" s="23"/>
      <c r="AC21" s="23"/>
      <c r="AD21" s="23">
        <f t="shared" si="2"/>
        <v>0</v>
      </c>
      <c r="AE21" s="23">
        <f t="shared" si="2"/>
        <v>0</v>
      </c>
      <c r="AF21" s="23"/>
      <c r="AG21" s="23"/>
      <c r="AH21" s="23">
        <f t="shared" si="2"/>
        <v>0</v>
      </c>
      <c r="AI21" s="23">
        <f t="shared" si="2"/>
        <v>0</v>
      </c>
      <c r="AJ21" s="23"/>
      <c r="AK21" s="23"/>
      <c r="AL21" s="23">
        <f t="shared" si="2"/>
        <v>0</v>
      </c>
      <c r="AM21" s="23">
        <f t="shared" si="2"/>
        <v>0</v>
      </c>
      <c r="AN21" s="23"/>
      <c r="AO21" s="23"/>
      <c r="AP21" s="23">
        <f t="shared" si="2"/>
        <v>0</v>
      </c>
      <c r="AQ21" s="23">
        <f t="shared" si="2"/>
        <v>2</v>
      </c>
      <c r="AR21" s="23"/>
      <c r="AS21" s="23"/>
      <c r="AT21" s="23">
        <f t="shared" si="2"/>
        <v>70</v>
      </c>
      <c r="AU21" s="17">
        <f>SUM(AU15:AU20)</f>
        <v>3</v>
      </c>
      <c r="AV21" s="23">
        <f t="shared" si="2"/>
        <v>230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72" s="11" customFormat="1" ht="28" x14ac:dyDescent="0.15">
      <c r="A22" s="45">
        <v>2</v>
      </c>
      <c r="B22" s="42" t="s">
        <v>21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29" t="s">
        <v>100</v>
      </c>
      <c r="U22" s="29" t="s">
        <v>101</v>
      </c>
      <c r="V22" s="9">
        <v>90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17">
        <v>0</v>
      </c>
      <c r="AR22" s="9">
        <v>0</v>
      </c>
      <c r="AS22" s="9">
        <v>0</v>
      </c>
      <c r="AT22" s="17">
        <v>0</v>
      </c>
      <c r="AU22" s="9">
        <f>SUM(C22+G22+K22+O22+S22+W22+AA22+AE22+AI22+AM22+AQ22)</f>
        <v>1</v>
      </c>
      <c r="AV22" s="9">
        <f>SUM(F22+J22+N22+R22+V22+Z22+AD22+AH22+AL22+AP22+AT15)</f>
        <v>90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s="11" customFormat="1" ht="26.25" customHeight="1" x14ac:dyDescent="0.15">
      <c r="A23" s="46"/>
      <c r="B23" s="43"/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17">
        <v>1</v>
      </c>
      <c r="AR23" s="37" t="s">
        <v>117</v>
      </c>
      <c r="AS23" s="9" t="s">
        <v>83</v>
      </c>
      <c r="AT23" s="17">
        <v>30</v>
      </c>
      <c r="AU23" s="9">
        <f t="shared" ref="AU23:AU26" si="3">SUM(C23+G23+K23+O23+S23+W23+AA23+AE23+AI23+AM23+AQ23)</f>
        <v>1</v>
      </c>
      <c r="AV23" s="9">
        <f t="shared" ref="AV23:AV26" si="4">SUM(F23+J23+N23+R23+V23+Z23+AD23+AH23+AL23+AP23+AT16)</f>
        <v>30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s="11" customFormat="1" ht="26.25" customHeight="1" x14ac:dyDescent="0.15">
      <c r="A24" s="46"/>
      <c r="B24" s="43"/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29" t="s">
        <v>127</v>
      </c>
      <c r="U24" s="9" t="s">
        <v>128</v>
      </c>
      <c r="V24" s="9">
        <v>40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f t="shared" si="3"/>
        <v>1</v>
      </c>
      <c r="AV24" s="9">
        <f>SUM(F24+J24+N24+R24+V24+Z24+AD24+AH24+AL24+AP24+AT24)</f>
        <v>40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s="11" customFormat="1" ht="26.25" customHeight="1" x14ac:dyDescent="0.15">
      <c r="A25" s="46"/>
      <c r="B25" s="43"/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</v>
      </c>
      <c r="T25" s="29" t="s">
        <v>130</v>
      </c>
      <c r="U25" s="9" t="s">
        <v>128</v>
      </c>
      <c r="V25" s="9">
        <v>40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f t="shared" si="3"/>
        <v>1</v>
      </c>
      <c r="AV25" s="9">
        <f t="shared" si="4"/>
        <v>40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s="11" customFormat="1" ht="13" x14ac:dyDescent="0.15">
      <c r="A26" s="46"/>
      <c r="B26" s="4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17">
        <v>0</v>
      </c>
      <c r="AR26" s="9">
        <v>0</v>
      </c>
      <c r="AS26" s="9">
        <v>0</v>
      </c>
      <c r="AT26" s="17">
        <v>0</v>
      </c>
      <c r="AU26" s="9">
        <f t="shared" si="3"/>
        <v>0</v>
      </c>
      <c r="AV26" s="9">
        <f t="shared" si="4"/>
        <v>0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s="11" customFormat="1" ht="13" x14ac:dyDescent="0.15">
      <c r="A27" s="46"/>
      <c r="B27" s="4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17"/>
      <c r="AR27" s="9"/>
      <c r="AS27" s="9"/>
      <c r="AT27" s="17"/>
      <c r="AU27" s="9">
        <f t="shared" ref="AU27:AU31" si="5">SUM(C27+G27+K27+O27+S27+W27+AA27+AE27+AI27+AM27+AQ27)</f>
        <v>0</v>
      </c>
      <c r="AV27" s="9">
        <f t="shared" ref="AV27:AV31" si="6">SUM(F27+J27+N27+R27+V27+Z27+AD27+AH27+AL27+AP27+AT20)</f>
        <v>0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s="11" customFormat="1" ht="13" x14ac:dyDescent="0.15">
      <c r="A28" s="46"/>
      <c r="B28" s="4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17"/>
      <c r="AR28" s="9"/>
      <c r="AS28" s="9"/>
      <c r="AT28" s="17"/>
      <c r="AU28" s="9">
        <f t="shared" si="5"/>
        <v>0</v>
      </c>
      <c r="AV28" s="9">
        <v>0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s="11" customFormat="1" ht="13" x14ac:dyDescent="0.15">
      <c r="A29" s="46"/>
      <c r="B29" s="4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17">
        <v>0</v>
      </c>
      <c r="AR29" s="9">
        <v>0</v>
      </c>
      <c r="AS29" s="9">
        <v>0</v>
      </c>
      <c r="AT29" s="17">
        <v>0</v>
      </c>
      <c r="AU29" s="9">
        <f t="shared" si="5"/>
        <v>0</v>
      </c>
      <c r="AV29" s="9">
        <f t="shared" si="6"/>
        <v>0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s="11" customFormat="1" ht="13" x14ac:dyDescent="0.15">
      <c r="A30" s="46"/>
      <c r="B30" s="4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17">
        <v>0</v>
      </c>
      <c r="AR30" s="9">
        <v>0</v>
      </c>
      <c r="AS30" s="9">
        <v>0</v>
      </c>
      <c r="AT30" s="17">
        <v>0</v>
      </c>
      <c r="AU30" s="9">
        <f t="shared" si="5"/>
        <v>0</v>
      </c>
      <c r="AV30" s="9">
        <f>SUM(F30+J30+N30+R30+V30+Z30+AD30+AH30+AL30+AP30+AT30)</f>
        <v>0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s="11" customFormat="1" ht="13" x14ac:dyDescent="0.15">
      <c r="A31" s="46"/>
      <c r="B31" s="4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17">
        <v>0</v>
      </c>
      <c r="AR31" s="9">
        <v>0</v>
      </c>
      <c r="AS31" s="9">
        <v>0</v>
      </c>
      <c r="AT31" s="17">
        <v>0</v>
      </c>
      <c r="AU31" s="9">
        <f t="shared" si="5"/>
        <v>0</v>
      </c>
      <c r="AV31" s="9">
        <f t="shared" si="6"/>
        <v>0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s="20" customFormat="1" ht="13" x14ac:dyDescent="0.15">
      <c r="A32" s="47"/>
      <c r="B32" s="22" t="s">
        <v>18</v>
      </c>
      <c r="C32" s="23">
        <f ca="1">SUM(C31:C1570)</f>
        <v>0</v>
      </c>
      <c r="D32" s="23"/>
      <c r="E32" s="23"/>
      <c r="F32" s="23">
        <f t="shared" ref="F32" si="7">SUM(F21:F31)</f>
        <v>0</v>
      </c>
      <c r="G32" s="23">
        <f>SUM(G22:G31)</f>
        <v>0</v>
      </c>
      <c r="H32" s="23"/>
      <c r="I32" s="23"/>
      <c r="J32" s="23">
        <f t="shared" ref="J32" si="8">SUM(J21:J31)</f>
        <v>0</v>
      </c>
      <c r="K32" s="23">
        <f>SUM(K22:K31)</f>
        <v>0</v>
      </c>
      <c r="L32" s="23"/>
      <c r="M32" s="23"/>
      <c r="N32" s="23">
        <f t="shared" ref="N32" si="9">SUM(N21:N31)</f>
        <v>0</v>
      </c>
      <c r="O32" s="23">
        <f>SUM(O22:O31)</f>
        <v>0</v>
      </c>
      <c r="P32" s="23"/>
      <c r="Q32" s="23"/>
      <c r="R32" s="23">
        <f t="shared" ref="R32:AV32" si="10">SUM(R22:R31)</f>
        <v>0</v>
      </c>
      <c r="S32" s="23">
        <f t="shared" si="10"/>
        <v>3</v>
      </c>
      <c r="T32" s="23"/>
      <c r="U32" s="23"/>
      <c r="V32" s="23">
        <f t="shared" si="10"/>
        <v>170</v>
      </c>
      <c r="W32" s="23">
        <f t="shared" si="10"/>
        <v>0</v>
      </c>
      <c r="X32" s="23"/>
      <c r="Y32" s="23"/>
      <c r="Z32" s="23">
        <f t="shared" si="10"/>
        <v>0</v>
      </c>
      <c r="AA32" s="23">
        <f t="shared" si="10"/>
        <v>0</v>
      </c>
      <c r="AB32" s="23"/>
      <c r="AC32" s="23"/>
      <c r="AD32" s="23">
        <f t="shared" si="10"/>
        <v>0</v>
      </c>
      <c r="AE32" s="23">
        <f t="shared" si="10"/>
        <v>0</v>
      </c>
      <c r="AF32" s="23"/>
      <c r="AG32" s="23"/>
      <c r="AH32" s="23">
        <f t="shared" si="10"/>
        <v>0</v>
      </c>
      <c r="AI32" s="23">
        <f t="shared" si="10"/>
        <v>0</v>
      </c>
      <c r="AJ32" s="23"/>
      <c r="AK32" s="23"/>
      <c r="AL32" s="23">
        <f t="shared" si="10"/>
        <v>0</v>
      </c>
      <c r="AM32" s="23">
        <f t="shared" si="10"/>
        <v>0</v>
      </c>
      <c r="AN32" s="23"/>
      <c r="AO32" s="23"/>
      <c r="AP32" s="23">
        <f t="shared" si="10"/>
        <v>0</v>
      </c>
      <c r="AQ32" s="23">
        <f t="shared" si="10"/>
        <v>1</v>
      </c>
      <c r="AR32" s="23"/>
      <c r="AS32" s="23"/>
      <c r="AT32" s="23">
        <f t="shared" si="10"/>
        <v>30</v>
      </c>
      <c r="AU32" s="23">
        <f t="shared" si="10"/>
        <v>4</v>
      </c>
      <c r="AV32" s="23">
        <f t="shared" si="10"/>
        <v>200</v>
      </c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72" s="11" customFormat="1" ht="28" x14ac:dyDescent="0.15">
      <c r="A33" s="45">
        <v>3</v>
      </c>
      <c r="B33" s="42" t="s">
        <v>22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</v>
      </c>
      <c r="X33" s="29" t="s">
        <v>75</v>
      </c>
      <c r="Y33" s="9" t="s">
        <v>70</v>
      </c>
      <c r="Z33" s="9">
        <v>80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17">
        <v>0</v>
      </c>
      <c r="AR33" s="9">
        <v>0</v>
      </c>
      <c r="AS33" s="9">
        <v>0</v>
      </c>
      <c r="AT33" s="17">
        <v>0</v>
      </c>
      <c r="AU33" s="9">
        <f>SUM(C33+G33+K33+O33+S33+W33+AA33+AE33+AI33+AM33+AQ33)</f>
        <v>1</v>
      </c>
      <c r="AV33" s="9">
        <f>SUM(F33+J33+N33+R33+V33+Z33+AD33+AH33+AL33+AP33+AT33)</f>
        <v>80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s="11" customFormat="1" ht="28" x14ac:dyDescent="0.15">
      <c r="A34" s="46"/>
      <c r="B34" s="43"/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2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1</v>
      </c>
      <c r="AN34" s="29" t="s">
        <v>76</v>
      </c>
      <c r="AO34" s="9" t="s">
        <v>83</v>
      </c>
      <c r="AP34" s="9">
        <v>80</v>
      </c>
      <c r="AQ34" s="17">
        <v>0</v>
      </c>
      <c r="AR34" s="9">
        <v>0</v>
      </c>
      <c r="AS34" s="9">
        <v>0</v>
      </c>
      <c r="AT34" s="17">
        <v>0</v>
      </c>
      <c r="AU34" s="9">
        <f>SUM(C34+G34+K34+O34+S34+W34+AA34+AE34+AI34+AM34+AQ34)</f>
        <v>1</v>
      </c>
      <c r="AV34" s="9">
        <f>SUM(F34+J34+N34+R34+V34+Z34+AD34+AH34+AL34+AP34+AT34)</f>
        <v>80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spans="1:72" s="11" customFormat="1" ht="28" x14ac:dyDescent="0.15">
      <c r="A35" s="46"/>
      <c r="B35" s="43"/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17">
        <v>1</v>
      </c>
      <c r="AR35" s="37" t="s">
        <v>106</v>
      </c>
      <c r="AS35" s="29" t="s">
        <v>70</v>
      </c>
      <c r="AT35" s="17">
        <v>30</v>
      </c>
      <c r="AU35" s="9">
        <f t="shared" ref="AU35:AU40" si="11">SUM(C35+G35+K35+O35+S35+W35+AA35+AE35+AI35+AM35+AQ35)</f>
        <v>1</v>
      </c>
      <c r="AV35" s="9">
        <f t="shared" ref="AV35:AV40" si="12">SUM(F35+J35+N35+R35+V35+Z35+AD35+AH35+AL35+AP35+AT35)</f>
        <v>30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spans="1:72" s="11" customFormat="1" ht="28" x14ac:dyDescent="0.15">
      <c r="A36" s="46"/>
      <c r="B36" s="43"/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17">
        <v>1</v>
      </c>
      <c r="AR36" s="37" t="s">
        <v>114</v>
      </c>
      <c r="AS36" s="9" t="s">
        <v>70</v>
      </c>
      <c r="AT36" s="17">
        <v>30</v>
      </c>
      <c r="AU36" s="9">
        <f t="shared" si="11"/>
        <v>1</v>
      </c>
      <c r="AV36" s="9">
        <f t="shared" si="12"/>
        <v>30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  <row r="37" spans="1:72" s="11" customFormat="1" ht="28" x14ac:dyDescent="0.15">
      <c r="A37" s="46"/>
      <c r="B37" s="43"/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29" t="s">
        <v>130</v>
      </c>
      <c r="U37" s="9" t="s">
        <v>128</v>
      </c>
      <c r="V37" s="9">
        <v>40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17">
        <v>0</v>
      </c>
      <c r="AR37" s="9">
        <v>0</v>
      </c>
      <c r="AS37" s="9">
        <v>0</v>
      </c>
      <c r="AT37" s="17">
        <v>0</v>
      </c>
      <c r="AU37" s="9">
        <f t="shared" si="11"/>
        <v>1</v>
      </c>
      <c r="AV37" s="9">
        <f t="shared" si="12"/>
        <v>40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spans="1:72" s="11" customFormat="1" ht="13" x14ac:dyDescent="0.15">
      <c r="A38" s="46"/>
      <c r="B38" s="4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17">
        <v>0</v>
      </c>
      <c r="AR38" s="9">
        <v>0</v>
      </c>
      <c r="AS38" s="9">
        <v>0</v>
      </c>
      <c r="AT38" s="17">
        <v>0</v>
      </c>
      <c r="AU38" s="9">
        <f t="shared" si="11"/>
        <v>0</v>
      </c>
      <c r="AV38" s="9">
        <f t="shared" si="12"/>
        <v>0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spans="1:72" s="11" customFormat="1" ht="13" x14ac:dyDescent="0.15">
      <c r="A39" s="46"/>
      <c r="B39" s="4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17">
        <v>0</v>
      </c>
      <c r="AR39" s="9">
        <v>0</v>
      </c>
      <c r="AS39" s="9">
        <v>0</v>
      </c>
      <c r="AT39" s="17">
        <v>0</v>
      </c>
      <c r="AU39" s="9">
        <f t="shared" si="11"/>
        <v>0</v>
      </c>
      <c r="AV39" s="9">
        <f t="shared" si="12"/>
        <v>0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spans="1:72" s="11" customFormat="1" ht="13" x14ac:dyDescent="0.15">
      <c r="A40" s="46"/>
      <c r="B40" s="44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17">
        <v>0</v>
      </c>
      <c r="AR40" s="9">
        <v>0</v>
      </c>
      <c r="AS40" s="9">
        <v>0</v>
      </c>
      <c r="AT40" s="17">
        <v>0</v>
      </c>
      <c r="AU40" s="9">
        <f t="shared" si="11"/>
        <v>0</v>
      </c>
      <c r="AV40" s="9">
        <f t="shared" si="12"/>
        <v>0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s="21" customFormat="1" ht="13" x14ac:dyDescent="0.15">
      <c r="A41" s="47"/>
      <c r="B41" s="22" t="s">
        <v>18</v>
      </c>
      <c r="C41" s="23">
        <f>SUM(C33:C40)</f>
        <v>0</v>
      </c>
      <c r="D41" s="23"/>
      <c r="E41" s="23"/>
      <c r="F41" s="23">
        <f t="shared" ref="F41:AV41" si="13">SUM(F33:F40)</f>
        <v>0</v>
      </c>
      <c r="G41" s="23">
        <f t="shared" si="13"/>
        <v>0</v>
      </c>
      <c r="H41" s="23"/>
      <c r="I41" s="23"/>
      <c r="J41" s="23">
        <f t="shared" si="13"/>
        <v>0</v>
      </c>
      <c r="K41" s="23">
        <f t="shared" si="13"/>
        <v>0</v>
      </c>
      <c r="L41" s="23"/>
      <c r="M41" s="23"/>
      <c r="N41" s="23">
        <f t="shared" si="13"/>
        <v>0</v>
      </c>
      <c r="O41" s="23">
        <f t="shared" si="13"/>
        <v>0</v>
      </c>
      <c r="P41" s="23"/>
      <c r="Q41" s="23"/>
      <c r="R41" s="23">
        <f t="shared" si="13"/>
        <v>0</v>
      </c>
      <c r="S41" s="23">
        <f t="shared" si="13"/>
        <v>1</v>
      </c>
      <c r="T41" s="23"/>
      <c r="U41" s="23"/>
      <c r="V41" s="23">
        <f t="shared" si="13"/>
        <v>40</v>
      </c>
      <c r="W41" s="23">
        <f t="shared" si="13"/>
        <v>1</v>
      </c>
      <c r="X41" s="23"/>
      <c r="Y41" s="23"/>
      <c r="Z41" s="23">
        <f t="shared" si="13"/>
        <v>80</v>
      </c>
      <c r="AA41" s="23">
        <f t="shared" si="13"/>
        <v>0</v>
      </c>
      <c r="AB41" s="23"/>
      <c r="AC41" s="23"/>
      <c r="AD41" s="23">
        <f t="shared" si="13"/>
        <v>0</v>
      </c>
      <c r="AE41" s="23">
        <f t="shared" si="13"/>
        <v>0</v>
      </c>
      <c r="AF41" s="23"/>
      <c r="AG41" s="23"/>
      <c r="AH41" s="23">
        <f t="shared" si="13"/>
        <v>0</v>
      </c>
      <c r="AI41" s="23">
        <f t="shared" si="13"/>
        <v>0</v>
      </c>
      <c r="AJ41" s="23"/>
      <c r="AK41" s="23"/>
      <c r="AL41" s="23">
        <f t="shared" si="13"/>
        <v>0</v>
      </c>
      <c r="AM41" s="23">
        <f t="shared" si="13"/>
        <v>1</v>
      </c>
      <c r="AN41" s="23"/>
      <c r="AO41" s="23"/>
      <c r="AP41" s="23">
        <f t="shared" si="13"/>
        <v>80</v>
      </c>
      <c r="AQ41" s="23">
        <f>SUM(AQ33:AQ40)</f>
        <v>2</v>
      </c>
      <c r="AR41" s="23"/>
      <c r="AS41" s="23"/>
      <c r="AT41" s="23">
        <f t="shared" ref="AT41" si="14">SUM(AT33:AT40)</f>
        <v>60</v>
      </c>
      <c r="AU41" s="23">
        <f t="shared" si="13"/>
        <v>5</v>
      </c>
      <c r="AV41" s="23">
        <f t="shared" si="13"/>
        <v>260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72" s="11" customFormat="1" ht="28" x14ac:dyDescent="0.15">
      <c r="A42" s="45">
        <v>4</v>
      </c>
      <c r="B42" s="42" t="s">
        <v>23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1</v>
      </c>
      <c r="X42" s="29" t="s">
        <v>69</v>
      </c>
      <c r="Y42" s="9" t="s">
        <v>70</v>
      </c>
      <c r="Z42" s="9">
        <v>160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17">
        <v>0</v>
      </c>
      <c r="AR42" s="9">
        <v>0</v>
      </c>
      <c r="AS42" s="9">
        <v>0</v>
      </c>
      <c r="AT42" s="17">
        <v>0</v>
      </c>
      <c r="AU42" s="9">
        <f>SUM(C42+G42+K42+O42+S42+W42+AA42+AE42+AI42+AM42+AQ42)</f>
        <v>1</v>
      </c>
      <c r="AV42" s="9">
        <f>SUM(F42+J42+N42+R42+V42+Z42+AD42+AH42+AL42+AP42+AT42)</f>
        <v>160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s="11" customFormat="1" ht="28" x14ac:dyDescent="0.15">
      <c r="A43" s="46"/>
      <c r="B43" s="43"/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1</v>
      </c>
      <c r="X43" s="29" t="s">
        <v>75</v>
      </c>
      <c r="Y43" s="9" t="s">
        <v>70</v>
      </c>
      <c r="Z43" s="9">
        <v>80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17">
        <v>0</v>
      </c>
      <c r="AR43" s="9">
        <v>0</v>
      </c>
      <c r="AS43" s="9">
        <v>0</v>
      </c>
      <c r="AT43" s="17">
        <v>0</v>
      </c>
      <c r="AU43" s="9">
        <f t="shared" ref="AU43:AU45" si="15">SUM(C43+G43+K43+O43+S43+W43+AA43+AE43+AI43+AM43+AQ43)</f>
        <v>1</v>
      </c>
      <c r="AV43" s="9">
        <f t="shared" ref="AV43:AV45" si="16">SUM(F43+J43+N43+R43+V43+Z43+AD43+AH43+AL43+AP43+AT43)</f>
        <v>80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s="11" customFormat="1" ht="28" x14ac:dyDescent="0.15">
      <c r="A44" s="46"/>
      <c r="B44" s="43"/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2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1</v>
      </c>
      <c r="AN44" s="29" t="s">
        <v>76</v>
      </c>
      <c r="AO44" s="9" t="s">
        <v>83</v>
      </c>
      <c r="AP44" s="9">
        <v>80</v>
      </c>
      <c r="AQ44" s="17">
        <v>0</v>
      </c>
      <c r="AR44" s="9">
        <v>0</v>
      </c>
      <c r="AS44" s="9">
        <v>0</v>
      </c>
      <c r="AT44" s="17">
        <v>0</v>
      </c>
      <c r="AU44" s="9">
        <f t="shared" si="15"/>
        <v>1</v>
      </c>
      <c r="AV44" s="9">
        <f t="shared" si="16"/>
        <v>80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s="11" customFormat="1" ht="28" x14ac:dyDescent="0.15">
      <c r="A45" s="46"/>
      <c r="B45" s="43"/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1</v>
      </c>
      <c r="X45" s="29" t="s">
        <v>89</v>
      </c>
      <c r="Y45" s="9" t="s">
        <v>70</v>
      </c>
      <c r="Z45" s="9">
        <v>80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17">
        <v>0</v>
      </c>
      <c r="AR45" s="9">
        <v>0</v>
      </c>
      <c r="AS45" s="9">
        <v>0</v>
      </c>
      <c r="AT45" s="17">
        <v>0</v>
      </c>
      <c r="AU45" s="9">
        <f t="shared" si="15"/>
        <v>1</v>
      </c>
      <c r="AV45" s="9">
        <f t="shared" si="16"/>
        <v>80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s="11" customFormat="1" ht="28" x14ac:dyDescent="0.15">
      <c r="A46" s="46"/>
      <c r="B46" s="43"/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1</v>
      </c>
      <c r="X46" s="29" t="s">
        <v>95</v>
      </c>
      <c r="Y46" s="9" t="s">
        <v>83</v>
      </c>
      <c r="Z46" s="9">
        <v>80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17">
        <v>0</v>
      </c>
      <c r="AR46" s="9">
        <v>0</v>
      </c>
      <c r="AS46" s="9">
        <v>0</v>
      </c>
      <c r="AT46" s="17">
        <v>0</v>
      </c>
      <c r="AU46" s="9">
        <f t="shared" ref="AU46:AU52" si="17">SUM(C46+G46+K46+O46+S46+W46+AA46+AE46+AI46+AM46+AQ46)</f>
        <v>1</v>
      </c>
      <c r="AV46" s="9">
        <f t="shared" ref="AV46:AV52" si="18">SUM(F46+J46+N46+R46+V46+Z46+AD46+AH46+AL46+AP46+AT46)</f>
        <v>80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s="11" customFormat="1" ht="13" x14ac:dyDescent="0.15">
      <c r="A47" s="46"/>
      <c r="B47" s="4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2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17">
        <v>0</v>
      </c>
      <c r="AR47" s="9">
        <v>0</v>
      </c>
      <c r="AS47" s="9">
        <v>0</v>
      </c>
      <c r="AT47" s="17">
        <v>0</v>
      </c>
      <c r="AU47" s="9">
        <f t="shared" si="17"/>
        <v>0</v>
      </c>
      <c r="AV47" s="9">
        <f t="shared" si="18"/>
        <v>0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s="11" customFormat="1" ht="13" x14ac:dyDescent="0.15">
      <c r="A48" s="46"/>
      <c r="B48" s="4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2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7">
        <v>0</v>
      </c>
      <c r="AR48" s="9">
        <v>0</v>
      </c>
      <c r="AS48" s="9">
        <v>0</v>
      </c>
      <c r="AT48" s="17">
        <v>0</v>
      </c>
      <c r="AU48" s="9">
        <f t="shared" si="17"/>
        <v>0</v>
      </c>
      <c r="AV48" s="9">
        <f t="shared" si="18"/>
        <v>0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s="11" customFormat="1" ht="13" x14ac:dyDescent="0.15">
      <c r="A49" s="46"/>
      <c r="B49" s="4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2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17">
        <v>0</v>
      </c>
      <c r="AR49" s="9">
        <v>0</v>
      </c>
      <c r="AS49" s="9">
        <v>0</v>
      </c>
      <c r="AT49" s="17">
        <v>0</v>
      </c>
      <c r="AU49" s="9">
        <f t="shared" si="17"/>
        <v>0</v>
      </c>
      <c r="AV49" s="9">
        <f t="shared" si="18"/>
        <v>0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s="11" customFormat="1" ht="13" x14ac:dyDescent="0.15">
      <c r="A50" s="46"/>
      <c r="B50" s="4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2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17">
        <v>0</v>
      </c>
      <c r="AR50" s="9">
        <v>0</v>
      </c>
      <c r="AS50" s="9">
        <v>0</v>
      </c>
      <c r="AT50" s="17">
        <v>0</v>
      </c>
      <c r="AU50" s="9">
        <f t="shared" si="17"/>
        <v>0</v>
      </c>
      <c r="AV50" s="9">
        <f t="shared" si="18"/>
        <v>0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s="11" customFormat="1" ht="13" x14ac:dyDescent="0.15">
      <c r="A51" s="46"/>
      <c r="B51" s="4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17">
        <v>0</v>
      </c>
      <c r="AR51" s="9">
        <v>0</v>
      </c>
      <c r="AS51" s="9">
        <v>0</v>
      </c>
      <c r="AT51" s="17">
        <v>0</v>
      </c>
      <c r="AU51" s="9">
        <f t="shared" si="17"/>
        <v>0</v>
      </c>
      <c r="AV51" s="9">
        <f t="shared" si="18"/>
        <v>0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s="11" customFormat="1" ht="13" x14ac:dyDescent="0.15">
      <c r="A52" s="46"/>
      <c r="B52" s="44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17">
        <v>0</v>
      </c>
      <c r="AR52" s="9">
        <v>0</v>
      </c>
      <c r="AS52" s="9">
        <v>0</v>
      </c>
      <c r="AT52" s="17">
        <v>0</v>
      </c>
      <c r="AU52" s="9">
        <f t="shared" si="17"/>
        <v>0</v>
      </c>
      <c r="AV52" s="9">
        <f t="shared" si="18"/>
        <v>0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s="21" customFormat="1" ht="13" x14ac:dyDescent="0.15">
      <c r="A53" s="47"/>
      <c r="B53" s="22" t="s">
        <v>18</v>
      </c>
      <c r="C53" s="23">
        <f>SUM(C42:C52)</f>
        <v>0</v>
      </c>
      <c r="D53" s="23"/>
      <c r="E53" s="23"/>
      <c r="F53" s="23">
        <f t="shared" ref="F53:AV53" si="19">SUM(F42:F52)</f>
        <v>0</v>
      </c>
      <c r="G53" s="23">
        <f t="shared" si="19"/>
        <v>0</v>
      </c>
      <c r="H53" s="23"/>
      <c r="I53" s="23"/>
      <c r="J53" s="23">
        <f t="shared" si="19"/>
        <v>0</v>
      </c>
      <c r="K53" s="23">
        <f t="shared" si="19"/>
        <v>0</v>
      </c>
      <c r="L53" s="23"/>
      <c r="M53" s="23"/>
      <c r="N53" s="23">
        <f t="shared" si="19"/>
        <v>0</v>
      </c>
      <c r="O53" s="23">
        <f t="shared" si="19"/>
        <v>0</v>
      </c>
      <c r="P53" s="23"/>
      <c r="Q53" s="23"/>
      <c r="R53" s="23">
        <f t="shared" si="19"/>
        <v>0</v>
      </c>
      <c r="S53" s="23">
        <f t="shared" si="19"/>
        <v>0</v>
      </c>
      <c r="T53" s="23"/>
      <c r="U53" s="23"/>
      <c r="V53" s="23">
        <f t="shared" si="19"/>
        <v>0</v>
      </c>
      <c r="W53" s="23">
        <f t="shared" si="19"/>
        <v>4</v>
      </c>
      <c r="X53" s="23"/>
      <c r="Y53" s="23"/>
      <c r="Z53" s="23">
        <f t="shared" si="19"/>
        <v>400</v>
      </c>
      <c r="AA53" s="23">
        <f t="shared" si="19"/>
        <v>0</v>
      </c>
      <c r="AB53" s="23"/>
      <c r="AC53" s="23"/>
      <c r="AD53" s="23">
        <f t="shared" si="19"/>
        <v>0</v>
      </c>
      <c r="AE53" s="23">
        <f t="shared" si="19"/>
        <v>0</v>
      </c>
      <c r="AF53" s="23"/>
      <c r="AG53" s="23"/>
      <c r="AH53" s="23">
        <f t="shared" si="19"/>
        <v>0</v>
      </c>
      <c r="AI53" s="23">
        <f t="shared" si="19"/>
        <v>0</v>
      </c>
      <c r="AJ53" s="23"/>
      <c r="AK53" s="23"/>
      <c r="AL53" s="23">
        <f t="shared" si="19"/>
        <v>0</v>
      </c>
      <c r="AM53" s="23">
        <f t="shared" si="19"/>
        <v>1</v>
      </c>
      <c r="AN53" s="23"/>
      <c r="AO53" s="23"/>
      <c r="AP53" s="23">
        <f t="shared" si="19"/>
        <v>80</v>
      </c>
      <c r="AQ53" s="23">
        <f>SUM(AQ42:AQ52)</f>
        <v>0</v>
      </c>
      <c r="AR53" s="23"/>
      <c r="AS53" s="23"/>
      <c r="AT53" s="23">
        <f>SUM(AT42:AT52)</f>
        <v>0</v>
      </c>
      <c r="AU53" s="23">
        <f t="shared" si="19"/>
        <v>5</v>
      </c>
      <c r="AV53" s="23">
        <f t="shared" si="19"/>
        <v>480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72" s="11" customFormat="1" ht="28" x14ac:dyDescent="0.15">
      <c r="A54" s="45">
        <v>5</v>
      </c>
      <c r="B54" s="42" t="s">
        <v>24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1</v>
      </c>
      <c r="T54" s="29" t="s">
        <v>88</v>
      </c>
      <c r="U54" s="9" t="s">
        <v>93</v>
      </c>
      <c r="V54" s="9">
        <v>86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17">
        <v>0</v>
      </c>
      <c r="AR54" s="9">
        <v>0</v>
      </c>
      <c r="AS54" s="9">
        <v>0</v>
      </c>
      <c r="AT54" s="17">
        <v>0</v>
      </c>
      <c r="AU54" s="9">
        <f>SUM(C54+G54+K54+O54+S54+W54+AA54+AE54+AI54+AM54+AQ54)</f>
        <v>1</v>
      </c>
      <c r="AV54" s="9">
        <f>SUM(F54+J54+N54+R54+V54+Z54+AD54+AH54+AL54+AP54+AT54)</f>
        <v>86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s="11" customFormat="1" ht="28" x14ac:dyDescent="0.15">
      <c r="A55" s="46"/>
      <c r="B55" s="43"/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17">
        <v>1</v>
      </c>
      <c r="AR55" s="37" t="s">
        <v>104</v>
      </c>
      <c r="AS55" s="9" t="s">
        <v>83</v>
      </c>
      <c r="AT55" s="17">
        <v>30</v>
      </c>
      <c r="AU55" s="9">
        <f t="shared" ref="AU55:AU62" si="20">SUM(C55+G55+K55+O55+S55+W55+AA55+AE55+AI55+AM55+AQ55)</f>
        <v>1</v>
      </c>
      <c r="AV55" s="9">
        <f t="shared" ref="AV55:AV62" si="21">SUM(F55+J55+N55+R55+V55+Z55+AD55+AH55+AL55+AP55+AT55)</f>
        <v>30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s="11" customFormat="1" ht="13" x14ac:dyDescent="0.15">
      <c r="A56" s="46"/>
      <c r="B56" s="4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17"/>
      <c r="AR56" s="37"/>
      <c r="AS56" s="9"/>
      <c r="AT56" s="17"/>
      <c r="AU56" s="9">
        <f t="shared" ref="AU56" si="22">SUM(C56+G56+K56+O56+S56+W56+AA56+AE56+AI56+AM56+AQ56)</f>
        <v>0</v>
      </c>
      <c r="AV56" s="9">
        <f t="shared" ref="AV56" si="23">SUM(F56+J56+N56+R56+V56+Z56+AD56+AH56+AL56+AP56+AT56)</f>
        <v>0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s="11" customFormat="1" ht="13" x14ac:dyDescent="0.15">
      <c r="A57" s="46"/>
      <c r="B57" s="4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17">
        <v>0</v>
      </c>
      <c r="AR57" s="9">
        <v>0</v>
      </c>
      <c r="AS57" s="9">
        <v>0</v>
      </c>
      <c r="AT57" s="17">
        <v>0</v>
      </c>
      <c r="AU57" s="9">
        <f t="shared" si="20"/>
        <v>0</v>
      </c>
      <c r="AV57" s="9">
        <f t="shared" si="21"/>
        <v>0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s="11" customFormat="1" ht="13" x14ac:dyDescent="0.15">
      <c r="A58" s="46"/>
      <c r="B58" s="4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17">
        <v>0</v>
      </c>
      <c r="AR58" s="9">
        <v>0</v>
      </c>
      <c r="AS58" s="9">
        <v>0</v>
      </c>
      <c r="AT58" s="17">
        <v>0</v>
      </c>
      <c r="AU58" s="9">
        <f t="shared" si="20"/>
        <v>0</v>
      </c>
      <c r="AV58" s="9">
        <f t="shared" si="21"/>
        <v>0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s="11" customFormat="1" ht="13" x14ac:dyDescent="0.15">
      <c r="A59" s="46"/>
      <c r="B59" s="4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17">
        <v>0</v>
      </c>
      <c r="AR59" s="9">
        <v>0</v>
      </c>
      <c r="AS59" s="9">
        <v>0</v>
      </c>
      <c r="AT59" s="17">
        <v>0</v>
      </c>
      <c r="AU59" s="9">
        <f t="shared" si="20"/>
        <v>0</v>
      </c>
      <c r="AV59" s="9">
        <f t="shared" si="21"/>
        <v>0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s="11" customFormat="1" ht="13" x14ac:dyDescent="0.15">
      <c r="A60" s="46"/>
      <c r="B60" s="4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17">
        <v>0</v>
      </c>
      <c r="AR60" s="9">
        <v>0</v>
      </c>
      <c r="AS60" s="9">
        <v>0</v>
      </c>
      <c r="AT60" s="17">
        <v>0</v>
      </c>
      <c r="AU60" s="9">
        <f t="shared" si="20"/>
        <v>0</v>
      </c>
      <c r="AV60" s="9">
        <f t="shared" si="21"/>
        <v>0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s="11" customFormat="1" ht="13" x14ac:dyDescent="0.15">
      <c r="A61" s="46"/>
      <c r="B61" s="4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17">
        <v>0</v>
      </c>
      <c r="AR61" s="9">
        <v>0</v>
      </c>
      <c r="AS61" s="9">
        <v>0</v>
      </c>
      <c r="AT61" s="17">
        <v>0</v>
      </c>
      <c r="AU61" s="9">
        <f t="shared" si="20"/>
        <v>0</v>
      </c>
      <c r="AV61" s="9">
        <f t="shared" si="21"/>
        <v>0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s="11" customFormat="1" ht="13" x14ac:dyDescent="0.15">
      <c r="A62" s="46"/>
      <c r="B62" s="44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17">
        <v>0</v>
      </c>
      <c r="AR62" s="9">
        <v>0</v>
      </c>
      <c r="AS62" s="9">
        <v>0</v>
      </c>
      <c r="AT62" s="17">
        <v>0</v>
      </c>
      <c r="AU62" s="9">
        <f t="shared" si="20"/>
        <v>0</v>
      </c>
      <c r="AV62" s="9">
        <f t="shared" si="21"/>
        <v>0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s="21" customFormat="1" ht="13" x14ac:dyDescent="0.15">
      <c r="A63" s="47"/>
      <c r="B63" s="22" t="s">
        <v>18</v>
      </c>
      <c r="C63" s="23">
        <f>SUM(C54:C62)</f>
        <v>0</v>
      </c>
      <c r="D63" s="23"/>
      <c r="E63" s="23"/>
      <c r="F63" s="23">
        <f t="shared" ref="F63:AV63" si="24">SUM(F54:F62)</f>
        <v>0</v>
      </c>
      <c r="G63" s="23">
        <f t="shared" si="24"/>
        <v>0</v>
      </c>
      <c r="H63" s="23"/>
      <c r="I63" s="23"/>
      <c r="J63" s="23">
        <f t="shared" si="24"/>
        <v>0</v>
      </c>
      <c r="K63" s="23">
        <f t="shared" si="24"/>
        <v>0</v>
      </c>
      <c r="L63" s="23"/>
      <c r="M63" s="23"/>
      <c r="N63" s="23">
        <f t="shared" si="24"/>
        <v>0</v>
      </c>
      <c r="O63" s="23">
        <f t="shared" si="24"/>
        <v>0</v>
      </c>
      <c r="P63" s="23"/>
      <c r="Q63" s="23"/>
      <c r="R63" s="23">
        <f t="shared" si="24"/>
        <v>0</v>
      </c>
      <c r="S63" s="23">
        <f t="shared" si="24"/>
        <v>1</v>
      </c>
      <c r="T63" s="23"/>
      <c r="U63" s="23"/>
      <c r="V63" s="23">
        <f t="shared" si="24"/>
        <v>86</v>
      </c>
      <c r="W63" s="23">
        <f t="shared" si="24"/>
        <v>0</v>
      </c>
      <c r="X63" s="23"/>
      <c r="Y63" s="23"/>
      <c r="Z63" s="23">
        <f t="shared" si="24"/>
        <v>0</v>
      </c>
      <c r="AA63" s="23">
        <f t="shared" si="24"/>
        <v>0</v>
      </c>
      <c r="AB63" s="23"/>
      <c r="AC63" s="23"/>
      <c r="AD63" s="23">
        <f t="shared" si="24"/>
        <v>0</v>
      </c>
      <c r="AE63" s="23">
        <f t="shared" si="24"/>
        <v>0</v>
      </c>
      <c r="AF63" s="23"/>
      <c r="AG63" s="23"/>
      <c r="AH63" s="23">
        <f t="shared" si="24"/>
        <v>0</v>
      </c>
      <c r="AI63" s="23">
        <f t="shared" si="24"/>
        <v>0</v>
      </c>
      <c r="AJ63" s="23"/>
      <c r="AK63" s="23"/>
      <c r="AL63" s="23">
        <f t="shared" si="24"/>
        <v>0</v>
      </c>
      <c r="AM63" s="23">
        <f t="shared" si="24"/>
        <v>0</v>
      </c>
      <c r="AN63" s="23"/>
      <c r="AO63" s="23"/>
      <c r="AP63" s="23">
        <f t="shared" si="24"/>
        <v>0</v>
      </c>
      <c r="AQ63" s="23">
        <f>SUM(AQ54:AQ62)</f>
        <v>1</v>
      </c>
      <c r="AR63" s="23"/>
      <c r="AS63" s="23"/>
      <c r="AT63" s="38">
        <f>SUM(AT54:AT62)</f>
        <v>30</v>
      </c>
      <c r="AU63" s="23">
        <f t="shared" si="24"/>
        <v>2</v>
      </c>
      <c r="AV63" s="23">
        <f t="shared" si="24"/>
        <v>116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72" s="11" customFormat="1" ht="28.5" customHeight="1" x14ac:dyDescent="0.15">
      <c r="A64" s="45">
        <v>6</v>
      </c>
      <c r="B64" s="42" t="s">
        <v>25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1</v>
      </c>
      <c r="X64" s="29" t="s">
        <v>58</v>
      </c>
      <c r="Y64" s="9" t="s">
        <v>62</v>
      </c>
      <c r="Z64" s="9">
        <v>80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17">
        <v>0</v>
      </c>
      <c r="AR64" s="9">
        <v>0</v>
      </c>
      <c r="AS64" s="9">
        <v>0</v>
      </c>
      <c r="AT64" s="17">
        <v>0</v>
      </c>
      <c r="AU64" s="9">
        <f>SUM(C64+G64+K64+O64+S64+W64+AA64+AE64+AI64+AM64+AQ64)</f>
        <v>1</v>
      </c>
      <c r="AV64" s="9">
        <f>SUM(F64+J64+N64+R64+V64+Z64+AD64+AH64+AL64+AP64+AT64)</f>
        <v>80</v>
      </c>
      <c r="AW64" s="6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s="11" customFormat="1" ht="28.5" customHeight="1" x14ac:dyDescent="0.15">
      <c r="A65" s="46"/>
      <c r="B65" s="43"/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2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1</v>
      </c>
      <c r="AN65" s="29" t="s">
        <v>76</v>
      </c>
      <c r="AO65" s="9" t="s">
        <v>62</v>
      </c>
      <c r="AP65" s="9">
        <v>80</v>
      </c>
      <c r="AQ65" s="17">
        <v>0</v>
      </c>
      <c r="AR65" s="9">
        <v>0</v>
      </c>
      <c r="AS65" s="9">
        <v>0</v>
      </c>
      <c r="AT65" s="17">
        <v>0</v>
      </c>
      <c r="AU65" s="9">
        <f t="shared" ref="AU65:AU76" si="25">SUM(C65+G65+K65+O65+S65+W65+AA65+AE65+AI65+AM65+AQ65)</f>
        <v>1</v>
      </c>
      <c r="AV65" s="9">
        <f t="shared" ref="AV65:AV76" si="26">SUM(F65+J65+N65+R65+V65+Z65+AD65+AH65+AL65+AP65+AT65)</f>
        <v>80</v>
      </c>
      <c r="AW65" s="6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s="11" customFormat="1" ht="28.5" customHeight="1" x14ac:dyDescent="0.15">
      <c r="A66" s="46"/>
      <c r="B66" s="43"/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1</v>
      </c>
      <c r="AN66" s="29" t="s">
        <v>82</v>
      </c>
      <c r="AO66" s="9" t="s">
        <v>79</v>
      </c>
      <c r="AP66" s="9">
        <v>106</v>
      </c>
      <c r="AQ66" s="17">
        <v>0</v>
      </c>
      <c r="AR66" s="9">
        <v>0</v>
      </c>
      <c r="AS66" s="9">
        <v>0</v>
      </c>
      <c r="AT66" s="17">
        <v>0</v>
      </c>
      <c r="AU66" s="9">
        <f t="shared" si="25"/>
        <v>1</v>
      </c>
      <c r="AV66" s="9">
        <f t="shared" si="26"/>
        <v>106</v>
      </c>
      <c r="AW66" s="6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s="11" customFormat="1" ht="28.5" customHeight="1" x14ac:dyDescent="0.15">
      <c r="A67" s="46"/>
      <c r="B67" s="43"/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17">
        <v>1</v>
      </c>
      <c r="AR67" s="37" t="s">
        <v>106</v>
      </c>
      <c r="AS67" s="29" t="s">
        <v>70</v>
      </c>
      <c r="AT67" s="17">
        <v>30</v>
      </c>
      <c r="AU67" s="9">
        <f t="shared" si="25"/>
        <v>1</v>
      </c>
      <c r="AV67" s="9">
        <f t="shared" si="26"/>
        <v>30</v>
      </c>
      <c r="AW67" s="6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s="11" customFormat="1" ht="28.5" customHeight="1" x14ac:dyDescent="0.15">
      <c r="A68" s="46"/>
      <c r="B68" s="43"/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17">
        <v>1</v>
      </c>
      <c r="AR68" s="37" t="s">
        <v>114</v>
      </c>
      <c r="AS68" s="9" t="s">
        <v>70</v>
      </c>
      <c r="AT68" s="17">
        <v>30</v>
      </c>
      <c r="AU68" s="9">
        <f t="shared" si="25"/>
        <v>1</v>
      </c>
      <c r="AV68" s="9">
        <f t="shared" si="26"/>
        <v>30</v>
      </c>
      <c r="AW68" s="6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s="11" customFormat="1" ht="28.5" customHeight="1" x14ac:dyDescent="0.15">
      <c r="A69" s="46"/>
      <c r="B69" s="43"/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</v>
      </c>
      <c r="AN69" s="29" t="s">
        <v>121</v>
      </c>
      <c r="AO69" s="9" t="s">
        <v>62</v>
      </c>
      <c r="AP69" s="9">
        <v>80</v>
      </c>
      <c r="AQ69" s="17">
        <v>0</v>
      </c>
      <c r="AR69" s="9">
        <v>0</v>
      </c>
      <c r="AS69" s="9">
        <v>0</v>
      </c>
      <c r="AT69" s="17">
        <v>0</v>
      </c>
      <c r="AU69" s="9">
        <f t="shared" si="25"/>
        <v>1</v>
      </c>
      <c r="AV69" s="9">
        <f t="shared" si="26"/>
        <v>80</v>
      </c>
      <c r="AW69" s="6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s="11" customFormat="1" ht="28.5" customHeight="1" x14ac:dyDescent="0.15">
      <c r="A70" s="46"/>
      <c r="B70" s="4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29"/>
      <c r="AO70" s="9"/>
      <c r="AP70" s="9"/>
      <c r="AQ70" s="17"/>
      <c r="AR70" s="9"/>
      <c r="AS70" s="9"/>
      <c r="AT70" s="17"/>
      <c r="AU70" s="9"/>
      <c r="AV70" s="9"/>
      <c r="AW70" s="6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s="11" customFormat="1" ht="28.5" customHeight="1" x14ac:dyDescent="0.15">
      <c r="A71" s="46"/>
      <c r="B71" s="4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29"/>
      <c r="AO71" s="9"/>
      <c r="AP71" s="9"/>
      <c r="AQ71" s="17"/>
      <c r="AR71" s="9"/>
      <c r="AS71" s="9"/>
      <c r="AT71" s="17"/>
      <c r="AU71" s="9"/>
      <c r="AV71" s="9"/>
      <c r="AW71" s="6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s="11" customFormat="1" ht="28.5" customHeight="1" x14ac:dyDescent="0.15">
      <c r="A72" s="46"/>
      <c r="B72" s="4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29"/>
      <c r="AO72" s="9"/>
      <c r="AP72" s="9"/>
      <c r="AQ72" s="17"/>
      <c r="AR72" s="9"/>
      <c r="AS72" s="9"/>
      <c r="AT72" s="17"/>
      <c r="AU72" s="9"/>
      <c r="AV72" s="9"/>
      <c r="AW72" s="6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s="11" customFormat="1" ht="28.5" customHeight="1" x14ac:dyDescent="0.15">
      <c r="A73" s="46"/>
      <c r="B73" s="4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29"/>
      <c r="AO73" s="9"/>
      <c r="AP73" s="9"/>
      <c r="AQ73" s="17"/>
      <c r="AR73" s="9"/>
      <c r="AS73" s="9"/>
      <c r="AT73" s="17"/>
      <c r="AU73" s="9"/>
      <c r="AV73" s="9"/>
      <c r="AW73" s="6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s="11" customFormat="1" ht="28.5" customHeight="1" x14ac:dyDescent="0.15">
      <c r="A74" s="46"/>
      <c r="B74" s="4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2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17">
        <v>0</v>
      </c>
      <c r="AR74" s="9">
        <v>0</v>
      </c>
      <c r="AS74" s="9">
        <v>0</v>
      </c>
      <c r="AT74" s="17">
        <v>0</v>
      </c>
      <c r="AU74" s="9">
        <f t="shared" si="25"/>
        <v>0</v>
      </c>
      <c r="AV74" s="9">
        <f t="shared" si="26"/>
        <v>0</v>
      </c>
      <c r="AW74" s="6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s="11" customFormat="1" ht="13" x14ac:dyDescent="0.15">
      <c r="A75" s="46"/>
      <c r="B75" s="4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17">
        <v>0</v>
      </c>
      <c r="AR75" s="9">
        <v>0</v>
      </c>
      <c r="AS75" s="9">
        <v>0</v>
      </c>
      <c r="AT75" s="17">
        <v>0</v>
      </c>
      <c r="AU75" s="9">
        <f t="shared" si="25"/>
        <v>0</v>
      </c>
      <c r="AV75" s="9">
        <f t="shared" si="26"/>
        <v>0</v>
      </c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s="11" customFormat="1" ht="13" x14ac:dyDescent="0.15">
      <c r="A76" s="46"/>
      <c r="B76" s="44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17">
        <v>0</v>
      </c>
      <c r="AR76" s="9">
        <v>0</v>
      </c>
      <c r="AS76" s="9">
        <v>0</v>
      </c>
      <c r="AT76" s="17">
        <v>0</v>
      </c>
      <c r="AU76" s="9">
        <f t="shared" si="25"/>
        <v>0</v>
      </c>
      <c r="AV76" s="9">
        <f t="shared" si="26"/>
        <v>0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s="21" customFormat="1" ht="13" x14ac:dyDescent="0.15">
      <c r="A77" s="47"/>
      <c r="B77" s="22" t="s">
        <v>18</v>
      </c>
      <c r="C77" s="23">
        <f>SUM(C64:C76)</f>
        <v>0</v>
      </c>
      <c r="D77" s="23"/>
      <c r="E77" s="23"/>
      <c r="F77" s="23">
        <f t="shared" ref="F77:AV77" si="27">SUM(F64:F76)</f>
        <v>0</v>
      </c>
      <c r="G77" s="23">
        <f t="shared" si="27"/>
        <v>0</v>
      </c>
      <c r="H77" s="23"/>
      <c r="I77" s="23"/>
      <c r="J77" s="23">
        <f t="shared" si="27"/>
        <v>0</v>
      </c>
      <c r="K77" s="23">
        <f t="shared" si="27"/>
        <v>0</v>
      </c>
      <c r="L77" s="23"/>
      <c r="M77" s="23"/>
      <c r="N77" s="23">
        <f t="shared" si="27"/>
        <v>0</v>
      </c>
      <c r="O77" s="23">
        <f t="shared" si="27"/>
        <v>0</v>
      </c>
      <c r="P77" s="23"/>
      <c r="Q77" s="23"/>
      <c r="R77" s="23">
        <f t="shared" si="27"/>
        <v>0</v>
      </c>
      <c r="S77" s="23">
        <f t="shared" si="27"/>
        <v>0</v>
      </c>
      <c r="T77" s="23"/>
      <c r="U77" s="23"/>
      <c r="V77" s="23">
        <f t="shared" si="27"/>
        <v>0</v>
      </c>
      <c r="W77" s="23">
        <f t="shared" si="27"/>
        <v>1</v>
      </c>
      <c r="X77" s="23"/>
      <c r="Y77" s="23"/>
      <c r="Z77" s="23">
        <f>SUM(Z64:Z76)</f>
        <v>80</v>
      </c>
      <c r="AA77" s="23">
        <f t="shared" si="27"/>
        <v>0</v>
      </c>
      <c r="AB77" s="23"/>
      <c r="AC77" s="23"/>
      <c r="AD77" s="23">
        <f t="shared" si="27"/>
        <v>0</v>
      </c>
      <c r="AE77" s="23">
        <f t="shared" si="27"/>
        <v>0</v>
      </c>
      <c r="AF77" s="23"/>
      <c r="AG77" s="23"/>
      <c r="AH77" s="23">
        <f t="shared" si="27"/>
        <v>0</v>
      </c>
      <c r="AI77" s="23">
        <f t="shared" si="27"/>
        <v>0</v>
      </c>
      <c r="AJ77" s="23"/>
      <c r="AK77" s="23"/>
      <c r="AL77" s="23">
        <f t="shared" si="27"/>
        <v>0</v>
      </c>
      <c r="AM77" s="23">
        <f t="shared" si="27"/>
        <v>3</v>
      </c>
      <c r="AN77" s="23"/>
      <c r="AO77" s="23"/>
      <c r="AP77" s="23">
        <f t="shared" si="27"/>
        <v>266</v>
      </c>
      <c r="AQ77" s="23">
        <f>SUM(AQ64:AQ76)</f>
        <v>2</v>
      </c>
      <c r="AR77" s="23"/>
      <c r="AS77" s="23"/>
      <c r="AT77" s="23">
        <f>SUM(AT64:AT76)</f>
        <v>60</v>
      </c>
      <c r="AU77" s="23">
        <f>SUM(AU64:AU76)</f>
        <v>6</v>
      </c>
      <c r="AV77" s="23">
        <f t="shared" si="27"/>
        <v>406</v>
      </c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  <row r="78" spans="1:72" s="11" customFormat="1" ht="28" x14ac:dyDescent="0.15">
      <c r="A78" s="45">
        <v>7</v>
      </c>
      <c r="B78" s="42" t="s">
        <v>26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29">
        <v>1</v>
      </c>
      <c r="AN78" s="29" t="s">
        <v>59</v>
      </c>
      <c r="AO78" s="9" t="s">
        <v>60</v>
      </c>
      <c r="AP78" s="9">
        <v>210</v>
      </c>
      <c r="AQ78" s="17">
        <v>0</v>
      </c>
      <c r="AR78" s="9">
        <v>0</v>
      </c>
      <c r="AS78" s="9">
        <v>0</v>
      </c>
      <c r="AT78" s="17">
        <v>0</v>
      </c>
      <c r="AU78" s="9">
        <f>SUM(C78+G78+K78+O78+S78+W78+AA78+AE78+AI78+AM78+AQ78)</f>
        <v>1</v>
      </c>
      <c r="AV78" s="9">
        <f>SUM(F78+J78+N78+R78+V78+Z78+AD78+AH78+AL78+AP78+AT78)</f>
        <v>210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s="11" customFormat="1" ht="28" x14ac:dyDescent="0.15">
      <c r="A79" s="46"/>
      <c r="B79" s="43"/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1</v>
      </c>
      <c r="AN79" s="29" t="s">
        <v>65</v>
      </c>
      <c r="AO79" s="9" t="s">
        <v>60</v>
      </c>
      <c r="AP79" s="9">
        <v>210</v>
      </c>
      <c r="AQ79" s="17">
        <v>0</v>
      </c>
      <c r="AR79" s="9">
        <v>0</v>
      </c>
      <c r="AS79" s="9">
        <v>0</v>
      </c>
      <c r="AT79" s="17">
        <v>0</v>
      </c>
      <c r="AU79" s="9">
        <f t="shared" ref="AU79:AU90" si="28">SUM(C79+G79+K79+O79+S79+W79+AA79+AE79+AI79+AM79+AQ79)</f>
        <v>1</v>
      </c>
      <c r="AV79" s="9">
        <f t="shared" ref="AV79:AV90" si="29">SUM(F79+J79+N79+R79+V79+Z79+AD79+AH79+AL79+AP79+AT79)</f>
        <v>210</v>
      </c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s="11" customFormat="1" ht="28" x14ac:dyDescent="0.15">
      <c r="A80" s="46"/>
      <c r="B80" s="43"/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1</v>
      </c>
      <c r="X80" s="29" t="s">
        <v>71</v>
      </c>
      <c r="Y80" s="9" t="s">
        <v>72</v>
      </c>
      <c r="Z80" s="9">
        <v>170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29">
        <v>0</v>
      </c>
      <c r="AO80" s="9">
        <v>0</v>
      </c>
      <c r="AP80" s="9">
        <v>0</v>
      </c>
      <c r="AQ80" s="17">
        <v>0</v>
      </c>
      <c r="AR80" s="9">
        <v>0</v>
      </c>
      <c r="AS80" s="9">
        <v>0</v>
      </c>
      <c r="AT80" s="17">
        <v>0</v>
      </c>
      <c r="AU80" s="9">
        <f t="shared" si="28"/>
        <v>1</v>
      </c>
      <c r="AV80" s="9">
        <f t="shared" si="29"/>
        <v>170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s="11" customFormat="1" ht="28" x14ac:dyDescent="0.15">
      <c r="A81" s="46"/>
      <c r="B81" s="43"/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1</v>
      </c>
      <c r="T81" s="29" t="s">
        <v>94</v>
      </c>
      <c r="U81" s="9" t="s">
        <v>72</v>
      </c>
      <c r="V81" s="9">
        <v>170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17">
        <v>0</v>
      </c>
      <c r="AR81" s="9">
        <v>0</v>
      </c>
      <c r="AS81" s="9">
        <v>0</v>
      </c>
      <c r="AT81" s="17">
        <v>0</v>
      </c>
      <c r="AU81" s="9">
        <f t="shared" si="28"/>
        <v>1</v>
      </c>
      <c r="AV81" s="9">
        <f t="shared" si="29"/>
        <v>170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s="11" customFormat="1" ht="13" x14ac:dyDescent="0.15">
      <c r="A82" s="46"/>
      <c r="B82" s="4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29"/>
      <c r="AO82" s="9"/>
      <c r="AP82" s="9"/>
      <c r="AQ82" s="17">
        <v>0</v>
      </c>
      <c r="AR82" s="9">
        <v>0</v>
      </c>
      <c r="AS82" s="9">
        <v>0</v>
      </c>
      <c r="AT82" s="17">
        <v>0</v>
      </c>
      <c r="AU82" s="9">
        <f t="shared" si="28"/>
        <v>0</v>
      </c>
      <c r="AV82" s="9">
        <f t="shared" si="29"/>
        <v>0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s="11" customFormat="1" ht="13" x14ac:dyDescent="0.15">
      <c r="A83" s="46"/>
      <c r="B83" s="4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29"/>
      <c r="AO83" s="9"/>
      <c r="AP83" s="9"/>
      <c r="AQ83" s="17"/>
      <c r="AR83" s="9"/>
      <c r="AS83" s="9"/>
      <c r="AT83" s="17"/>
      <c r="AU83" s="9"/>
      <c r="AV83" s="9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s="11" customFormat="1" ht="13" x14ac:dyDescent="0.15">
      <c r="A84" s="46"/>
      <c r="B84" s="4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29"/>
      <c r="AO84" s="9"/>
      <c r="AP84" s="9"/>
      <c r="AQ84" s="17"/>
      <c r="AR84" s="9"/>
      <c r="AS84" s="9"/>
      <c r="AT84" s="17"/>
      <c r="AU84" s="9"/>
      <c r="AV84" s="9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s="11" customFormat="1" ht="13" x14ac:dyDescent="0.15">
      <c r="A85" s="46"/>
      <c r="B85" s="4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29"/>
      <c r="AO85" s="9"/>
      <c r="AP85" s="9"/>
      <c r="AQ85" s="17"/>
      <c r="AR85" s="9"/>
      <c r="AS85" s="9"/>
      <c r="AT85" s="17"/>
      <c r="AU85" s="9"/>
      <c r="AV85" s="9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s="11" customFormat="1" ht="13" x14ac:dyDescent="0.15">
      <c r="A86" s="46"/>
      <c r="B86" s="4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29"/>
      <c r="AO86" s="9"/>
      <c r="AP86" s="9"/>
      <c r="AQ86" s="17"/>
      <c r="AR86" s="9"/>
      <c r="AS86" s="9"/>
      <c r="AT86" s="17"/>
      <c r="AU86" s="9"/>
      <c r="AV86" s="9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s="11" customFormat="1" ht="13" x14ac:dyDescent="0.15">
      <c r="A87" s="46"/>
      <c r="B87" s="4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29"/>
      <c r="AO87" s="9"/>
      <c r="AP87" s="9"/>
      <c r="AQ87" s="17">
        <v>0</v>
      </c>
      <c r="AR87" s="9">
        <v>0</v>
      </c>
      <c r="AS87" s="9">
        <v>0</v>
      </c>
      <c r="AT87" s="17">
        <v>0</v>
      </c>
      <c r="AU87" s="9">
        <f t="shared" si="28"/>
        <v>0</v>
      </c>
      <c r="AV87" s="9">
        <f t="shared" si="29"/>
        <v>0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s="11" customFormat="1" ht="13" x14ac:dyDescent="0.15">
      <c r="A88" s="46"/>
      <c r="B88" s="4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29"/>
      <c r="AO88" s="9"/>
      <c r="AP88" s="9"/>
      <c r="AQ88" s="17"/>
      <c r="AR88" s="9"/>
      <c r="AS88" s="9"/>
      <c r="AT88" s="17"/>
      <c r="AU88" s="9"/>
      <c r="AV88" s="9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s="11" customFormat="1" ht="13" x14ac:dyDescent="0.15">
      <c r="A89" s="46"/>
      <c r="B89" s="4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29"/>
      <c r="AO89" s="9"/>
      <c r="AP89" s="9"/>
      <c r="AQ89" s="17">
        <v>0</v>
      </c>
      <c r="AR89" s="9">
        <v>0</v>
      </c>
      <c r="AS89" s="9">
        <v>0</v>
      </c>
      <c r="AT89" s="17">
        <v>0</v>
      </c>
      <c r="AU89" s="9">
        <f t="shared" si="28"/>
        <v>0</v>
      </c>
      <c r="AV89" s="9">
        <f t="shared" si="29"/>
        <v>0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s="11" customFormat="1" ht="13" x14ac:dyDescent="0.15">
      <c r="A90" s="46"/>
      <c r="B90" s="44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17">
        <v>0</v>
      </c>
      <c r="AR90" s="9">
        <v>0</v>
      </c>
      <c r="AS90" s="9">
        <v>0</v>
      </c>
      <c r="AT90" s="17">
        <v>0</v>
      </c>
      <c r="AU90" s="9">
        <f t="shared" si="28"/>
        <v>0</v>
      </c>
      <c r="AV90" s="9">
        <f t="shared" si="29"/>
        <v>0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s="21" customFormat="1" ht="13" x14ac:dyDescent="0.15">
      <c r="A91" s="47"/>
      <c r="B91" s="22" t="s">
        <v>18</v>
      </c>
      <c r="C91" s="23">
        <f>SUM(C78:C90)</f>
        <v>0</v>
      </c>
      <c r="D91" s="23"/>
      <c r="E91" s="23"/>
      <c r="F91" s="23">
        <f t="shared" ref="F91:AV91" si="30">SUM(F78:F90)</f>
        <v>0</v>
      </c>
      <c r="G91" s="23">
        <f t="shared" si="30"/>
        <v>0</v>
      </c>
      <c r="H91" s="23"/>
      <c r="I91" s="23"/>
      <c r="J91" s="23">
        <f t="shared" si="30"/>
        <v>0</v>
      </c>
      <c r="K91" s="23">
        <f t="shared" si="30"/>
        <v>0</v>
      </c>
      <c r="L91" s="23"/>
      <c r="M91" s="23"/>
      <c r="N91" s="23">
        <f t="shared" si="30"/>
        <v>0</v>
      </c>
      <c r="O91" s="23">
        <f t="shared" si="30"/>
        <v>0</v>
      </c>
      <c r="P91" s="23"/>
      <c r="Q91" s="23"/>
      <c r="R91" s="23">
        <f t="shared" si="30"/>
        <v>0</v>
      </c>
      <c r="S91" s="23">
        <f t="shared" si="30"/>
        <v>1</v>
      </c>
      <c r="T91" s="23"/>
      <c r="U91" s="23"/>
      <c r="V91" s="23">
        <f t="shared" si="30"/>
        <v>170</v>
      </c>
      <c r="W91" s="23">
        <f t="shared" si="30"/>
        <v>1</v>
      </c>
      <c r="X91" s="23"/>
      <c r="Y91" s="23"/>
      <c r="Z91" s="23">
        <f t="shared" si="30"/>
        <v>170</v>
      </c>
      <c r="AA91" s="23">
        <f t="shared" si="30"/>
        <v>0</v>
      </c>
      <c r="AB91" s="23"/>
      <c r="AC91" s="23"/>
      <c r="AD91" s="23">
        <f t="shared" si="30"/>
        <v>0</v>
      </c>
      <c r="AE91" s="23">
        <f t="shared" si="30"/>
        <v>0</v>
      </c>
      <c r="AF91" s="23"/>
      <c r="AG91" s="23"/>
      <c r="AH91" s="23">
        <f t="shared" si="30"/>
        <v>0</v>
      </c>
      <c r="AI91" s="23">
        <f t="shared" si="30"/>
        <v>0</v>
      </c>
      <c r="AJ91" s="23"/>
      <c r="AK91" s="23"/>
      <c r="AL91" s="23">
        <f t="shared" si="30"/>
        <v>0</v>
      </c>
      <c r="AM91" s="23">
        <f t="shared" si="30"/>
        <v>2</v>
      </c>
      <c r="AN91" s="23"/>
      <c r="AO91" s="23"/>
      <c r="AP91" s="23">
        <f t="shared" si="30"/>
        <v>420</v>
      </c>
      <c r="AQ91" s="23">
        <f>SUM(AQ78:AQ90)</f>
        <v>0</v>
      </c>
      <c r="AR91" s="23"/>
      <c r="AS91" s="23"/>
      <c r="AT91" s="23">
        <f>SUM(AT78:AT90)</f>
        <v>0</v>
      </c>
      <c r="AU91" s="23">
        <f t="shared" si="30"/>
        <v>4</v>
      </c>
      <c r="AV91" s="23">
        <f t="shared" si="30"/>
        <v>760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72" s="11" customFormat="1" ht="28" x14ac:dyDescent="0.15">
      <c r="A92" s="45">
        <v>8</v>
      </c>
      <c r="B92" s="42" t="s">
        <v>27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1</v>
      </c>
      <c r="AN92" s="29" t="s">
        <v>65</v>
      </c>
      <c r="AO92" s="9" t="s">
        <v>60</v>
      </c>
      <c r="AP92" s="9">
        <v>210</v>
      </c>
      <c r="AQ92" s="17">
        <v>0</v>
      </c>
      <c r="AR92" s="9">
        <v>0</v>
      </c>
      <c r="AS92" s="9">
        <v>0</v>
      </c>
      <c r="AT92" s="17">
        <v>0</v>
      </c>
      <c r="AU92" s="9">
        <f>SUM(C92+G92+K92+O92+S92+W92+AA92+AE92+AI92+AM92+AQ92)</f>
        <v>1</v>
      </c>
      <c r="AV92" s="9">
        <f>SUM(F92+J92+N92+R92+V92+Z92+AD92+AH92+AL92+AP92+AT92)</f>
        <v>210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s="11" customFormat="1" ht="28" x14ac:dyDescent="0.15">
      <c r="A93" s="46"/>
      <c r="B93" s="43"/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1</v>
      </c>
      <c r="X93" s="29" t="s">
        <v>71</v>
      </c>
      <c r="Y93" s="9" t="s">
        <v>72</v>
      </c>
      <c r="Z93" s="9">
        <v>170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29">
        <v>0</v>
      </c>
      <c r="AO93" s="9">
        <v>0</v>
      </c>
      <c r="AP93" s="9">
        <v>0</v>
      </c>
      <c r="AQ93" s="17">
        <v>0</v>
      </c>
      <c r="AR93" s="9">
        <v>0</v>
      </c>
      <c r="AS93" s="9">
        <v>0</v>
      </c>
      <c r="AT93" s="17">
        <v>0</v>
      </c>
      <c r="AU93" s="9">
        <f t="shared" ref="AU93:AU105" si="31">SUM(C93+G93+K93+O93+S93+W93+AA93+AE93+AI93+AM93+AQ93)</f>
        <v>1</v>
      </c>
      <c r="AV93" s="9">
        <f t="shared" ref="AV93:AV105" si="32">SUM(F93+J93+N93+R93+V93+Z93+AD93+AH93+AL93+AP93+AT93)</f>
        <v>170</v>
      </c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s="11" customFormat="1" ht="28" x14ac:dyDescent="0.15">
      <c r="A94" s="46"/>
      <c r="B94" s="43"/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1</v>
      </c>
      <c r="T94" s="29" t="s">
        <v>75</v>
      </c>
      <c r="U94" s="9" t="s">
        <v>72</v>
      </c>
      <c r="V94" s="9">
        <v>170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29">
        <v>0</v>
      </c>
      <c r="AO94" s="9">
        <v>0</v>
      </c>
      <c r="AP94" s="9">
        <v>0</v>
      </c>
      <c r="AQ94" s="17">
        <v>0</v>
      </c>
      <c r="AR94" s="9">
        <v>0</v>
      </c>
      <c r="AS94" s="9">
        <v>0</v>
      </c>
      <c r="AT94" s="17">
        <v>0</v>
      </c>
      <c r="AU94" s="9">
        <f t="shared" si="31"/>
        <v>1</v>
      </c>
      <c r="AV94" s="9">
        <f t="shared" si="32"/>
        <v>170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s="11" customFormat="1" ht="28" x14ac:dyDescent="0.15">
      <c r="A95" s="46"/>
      <c r="B95" s="43"/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1</v>
      </c>
      <c r="L95" s="29" t="s">
        <v>85</v>
      </c>
      <c r="M95" s="9" t="s">
        <v>86</v>
      </c>
      <c r="N95" s="9">
        <v>270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17">
        <v>0</v>
      </c>
      <c r="AR95" s="9">
        <v>0</v>
      </c>
      <c r="AS95" s="9">
        <v>0</v>
      </c>
      <c r="AT95" s="17">
        <v>0</v>
      </c>
      <c r="AU95" s="9">
        <f t="shared" si="31"/>
        <v>1</v>
      </c>
      <c r="AV95" s="9">
        <f t="shared" si="32"/>
        <v>270</v>
      </c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s="11" customFormat="1" ht="33" customHeight="1" x14ac:dyDescent="0.15">
      <c r="A96" s="46"/>
      <c r="B96" s="43"/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1</v>
      </c>
      <c r="AF96" s="29" t="s">
        <v>124</v>
      </c>
      <c r="AG96" s="9" t="s">
        <v>86</v>
      </c>
      <c r="AH96" s="9">
        <v>266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17">
        <v>0</v>
      </c>
      <c r="AR96" s="9">
        <v>0</v>
      </c>
      <c r="AS96" s="9">
        <v>0</v>
      </c>
      <c r="AT96" s="17">
        <v>0</v>
      </c>
      <c r="AU96" s="9">
        <f t="shared" si="31"/>
        <v>1</v>
      </c>
      <c r="AV96" s="9">
        <f t="shared" si="32"/>
        <v>266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s="11" customFormat="1" ht="13" x14ac:dyDescent="0.15">
      <c r="A97" s="46"/>
      <c r="B97" s="43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29"/>
      <c r="AO97" s="9"/>
      <c r="AP97" s="9"/>
      <c r="AQ97" s="17">
        <v>0</v>
      </c>
      <c r="AR97" s="9">
        <v>0</v>
      </c>
      <c r="AS97" s="9">
        <v>0</v>
      </c>
      <c r="AT97" s="17">
        <v>0</v>
      </c>
      <c r="AU97" s="9">
        <f t="shared" si="31"/>
        <v>0</v>
      </c>
      <c r="AV97" s="9">
        <f t="shared" si="32"/>
        <v>0</v>
      </c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s="11" customFormat="1" ht="13" x14ac:dyDescent="0.15">
      <c r="A98" s="46"/>
      <c r="B98" s="4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29"/>
      <c r="AO98" s="9"/>
      <c r="AP98" s="9"/>
      <c r="AQ98" s="17">
        <v>0</v>
      </c>
      <c r="AR98" s="9">
        <v>0</v>
      </c>
      <c r="AS98" s="9">
        <v>0</v>
      </c>
      <c r="AT98" s="17">
        <v>0</v>
      </c>
      <c r="AU98" s="9">
        <f t="shared" si="31"/>
        <v>0</v>
      </c>
      <c r="AV98" s="9">
        <f t="shared" si="32"/>
        <v>0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s="11" customFormat="1" ht="13" x14ac:dyDescent="0.15">
      <c r="A99" s="46"/>
      <c r="B99" s="43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29"/>
      <c r="AO99" s="9"/>
      <c r="AP99" s="9"/>
      <c r="AQ99" s="17"/>
      <c r="AR99" s="9"/>
      <c r="AS99" s="9"/>
      <c r="AT99" s="17"/>
      <c r="AU99" s="9"/>
      <c r="AV99" s="9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s="11" customFormat="1" ht="13" x14ac:dyDescent="0.15">
      <c r="A100" s="46"/>
      <c r="B100" s="43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29"/>
      <c r="AO100" s="9"/>
      <c r="AP100" s="9"/>
      <c r="AQ100" s="17"/>
      <c r="AR100" s="9"/>
      <c r="AS100" s="9"/>
      <c r="AT100" s="17"/>
      <c r="AU100" s="9"/>
      <c r="AV100" s="9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s="11" customFormat="1" ht="13" x14ac:dyDescent="0.15">
      <c r="A101" s="46"/>
      <c r="B101" s="43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29"/>
      <c r="AO101" s="9"/>
      <c r="AP101" s="9"/>
      <c r="AQ101" s="17"/>
      <c r="AR101" s="9"/>
      <c r="AS101" s="9"/>
      <c r="AT101" s="17"/>
      <c r="AU101" s="9"/>
      <c r="AV101" s="9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s="11" customFormat="1" ht="13" x14ac:dyDescent="0.15">
      <c r="A102" s="46"/>
      <c r="B102" s="4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29"/>
      <c r="AO102" s="9"/>
      <c r="AP102" s="9"/>
      <c r="AQ102" s="17">
        <v>0</v>
      </c>
      <c r="AR102" s="9">
        <v>0</v>
      </c>
      <c r="AS102" s="9">
        <v>0</v>
      </c>
      <c r="AT102" s="17">
        <v>0</v>
      </c>
      <c r="AU102" s="9">
        <f t="shared" si="31"/>
        <v>0</v>
      </c>
      <c r="AV102" s="9">
        <f t="shared" si="32"/>
        <v>0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s="11" customFormat="1" ht="13" x14ac:dyDescent="0.15">
      <c r="A103" s="46"/>
      <c r="B103" s="43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29"/>
      <c r="AO103" s="9"/>
      <c r="AP103" s="9"/>
      <c r="AQ103" s="17">
        <v>0</v>
      </c>
      <c r="AR103" s="9">
        <v>0</v>
      </c>
      <c r="AS103" s="9">
        <v>0</v>
      </c>
      <c r="AT103" s="17">
        <v>0</v>
      </c>
      <c r="AU103" s="9">
        <f t="shared" si="31"/>
        <v>0</v>
      </c>
      <c r="AV103" s="9">
        <f t="shared" si="32"/>
        <v>0</v>
      </c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s="11" customFormat="1" ht="13" x14ac:dyDescent="0.15">
      <c r="A104" s="46"/>
      <c r="B104" s="43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17">
        <v>0</v>
      </c>
      <c r="AR104" s="9">
        <v>0</v>
      </c>
      <c r="AS104" s="9">
        <v>0</v>
      </c>
      <c r="AT104" s="17">
        <v>0</v>
      </c>
      <c r="AU104" s="9">
        <f t="shared" si="31"/>
        <v>0</v>
      </c>
      <c r="AV104" s="9">
        <f t="shared" si="32"/>
        <v>0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s="11" customFormat="1" ht="13" x14ac:dyDescent="0.15">
      <c r="A105" s="46"/>
      <c r="B105" s="44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17">
        <v>0</v>
      </c>
      <c r="AR105" s="9">
        <v>0</v>
      </c>
      <c r="AS105" s="9">
        <v>0</v>
      </c>
      <c r="AT105" s="17">
        <v>0</v>
      </c>
      <c r="AU105" s="9">
        <f t="shared" si="31"/>
        <v>0</v>
      </c>
      <c r="AV105" s="9">
        <f t="shared" si="32"/>
        <v>0</v>
      </c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s="21" customFormat="1" ht="13" x14ac:dyDescent="0.15">
      <c r="A106" s="47"/>
      <c r="B106" s="22" t="s">
        <v>18</v>
      </c>
      <c r="C106" s="23">
        <f>SUM(C92:C105)</f>
        <v>0</v>
      </c>
      <c r="D106" s="23"/>
      <c r="E106" s="23"/>
      <c r="F106" s="23">
        <f t="shared" ref="F106:AV106" si="33">SUM(F92:F105)</f>
        <v>0</v>
      </c>
      <c r="G106" s="23">
        <f t="shared" si="33"/>
        <v>0</v>
      </c>
      <c r="H106" s="23"/>
      <c r="I106" s="23"/>
      <c r="J106" s="23">
        <f t="shared" si="33"/>
        <v>0</v>
      </c>
      <c r="K106" s="23">
        <f t="shared" si="33"/>
        <v>1</v>
      </c>
      <c r="L106" s="23"/>
      <c r="M106" s="23"/>
      <c r="N106" s="23">
        <f t="shared" si="33"/>
        <v>270</v>
      </c>
      <c r="O106" s="23">
        <f t="shared" si="33"/>
        <v>0</v>
      </c>
      <c r="P106" s="23"/>
      <c r="Q106" s="23"/>
      <c r="R106" s="23">
        <f t="shared" si="33"/>
        <v>0</v>
      </c>
      <c r="S106" s="23">
        <f t="shared" si="33"/>
        <v>1</v>
      </c>
      <c r="T106" s="23"/>
      <c r="U106" s="23"/>
      <c r="V106" s="23">
        <f t="shared" si="33"/>
        <v>170</v>
      </c>
      <c r="W106" s="23">
        <f t="shared" si="33"/>
        <v>1</v>
      </c>
      <c r="X106" s="23"/>
      <c r="Y106" s="23"/>
      <c r="Z106" s="23">
        <f t="shared" si="33"/>
        <v>170</v>
      </c>
      <c r="AA106" s="23">
        <f t="shared" si="33"/>
        <v>0</v>
      </c>
      <c r="AB106" s="23"/>
      <c r="AC106" s="23"/>
      <c r="AD106" s="23">
        <f t="shared" si="33"/>
        <v>0</v>
      </c>
      <c r="AE106" s="23">
        <f t="shared" si="33"/>
        <v>1</v>
      </c>
      <c r="AF106" s="23"/>
      <c r="AG106" s="23"/>
      <c r="AH106" s="23">
        <f t="shared" si="33"/>
        <v>266</v>
      </c>
      <c r="AI106" s="23">
        <f t="shared" si="33"/>
        <v>0</v>
      </c>
      <c r="AJ106" s="23"/>
      <c r="AK106" s="23"/>
      <c r="AL106" s="23">
        <f t="shared" si="33"/>
        <v>0</v>
      </c>
      <c r="AM106" s="23">
        <f t="shared" si="33"/>
        <v>1</v>
      </c>
      <c r="AN106" s="23"/>
      <c r="AO106" s="23"/>
      <c r="AP106" s="23">
        <f t="shared" si="33"/>
        <v>210</v>
      </c>
      <c r="AQ106" s="23">
        <f>SUM(AQ92:AQ105)</f>
        <v>0</v>
      </c>
      <c r="AR106" s="23"/>
      <c r="AS106" s="23"/>
      <c r="AT106" s="23">
        <f>SUM(AT92:AT105)</f>
        <v>0</v>
      </c>
      <c r="AU106" s="23">
        <f t="shared" si="33"/>
        <v>5</v>
      </c>
      <c r="AV106" s="23">
        <f t="shared" si="33"/>
        <v>1086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72" s="11" customFormat="1" ht="28.5" customHeight="1" x14ac:dyDescent="0.15">
      <c r="A107" s="45">
        <v>9</v>
      </c>
      <c r="B107" s="42" t="s">
        <v>28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1</v>
      </c>
      <c r="X107" s="29" t="s">
        <v>69</v>
      </c>
      <c r="Y107" s="9" t="s">
        <v>70</v>
      </c>
      <c r="Z107" s="9">
        <v>160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17">
        <v>0</v>
      </c>
      <c r="AR107" s="9">
        <v>0</v>
      </c>
      <c r="AS107" s="9">
        <v>0</v>
      </c>
      <c r="AT107" s="17">
        <v>0</v>
      </c>
      <c r="AU107" s="9">
        <f>SUM(C107+G107+K107+O107+S107+W107+AA107+AE107+AI107+AM107+AQ107)</f>
        <v>1</v>
      </c>
      <c r="AV107" s="9">
        <f>SUM(F107+J107+N107+R107+V107+Z107+AD107+AH107+AL107+AP107+AT107)</f>
        <v>160</v>
      </c>
      <c r="AW107" s="1"/>
      <c r="AX107" s="1">
        <v>0</v>
      </c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s="11" customFormat="1" ht="28.5" customHeight="1" x14ac:dyDescent="0.15">
      <c r="A108" s="46"/>
      <c r="B108" s="43"/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1</v>
      </c>
      <c r="X108" s="29" t="s">
        <v>61</v>
      </c>
      <c r="Y108" s="9" t="s">
        <v>62</v>
      </c>
      <c r="Z108" s="9">
        <v>80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17">
        <v>0</v>
      </c>
      <c r="AR108" s="9">
        <v>0</v>
      </c>
      <c r="AS108" s="9">
        <v>0</v>
      </c>
      <c r="AT108" s="17">
        <v>0</v>
      </c>
      <c r="AU108" s="9">
        <f t="shared" ref="AU108:AU126" si="34">SUM(C108+G108+K108+O108+S108+W108+AA108+AE108+AI108+AM108+AQ108)</f>
        <v>1</v>
      </c>
      <c r="AV108" s="9">
        <f t="shared" ref="AV108:AV126" si="35">SUM(F108+J108+N108+R108+V108+Z108+AD108+AH108+AL108+AP108+AT108)</f>
        <v>80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s="11" customFormat="1" ht="35.25" customHeight="1" x14ac:dyDescent="0.15">
      <c r="A109" s="46"/>
      <c r="B109" s="43"/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1</v>
      </c>
      <c r="X109" s="37" t="s">
        <v>67</v>
      </c>
      <c r="Y109" s="9" t="s">
        <v>62</v>
      </c>
      <c r="Z109" s="9">
        <v>80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17">
        <v>0</v>
      </c>
      <c r="AR109" s="9">
        <v>0</v>
      </c>
      <c r="AS109" s="9">
        <v>0</v>
      </c>
      <c r="AT109" s="17">
        <v>0</v>
      </c>
      <c r="AU109" s="9">
        <f t="shared" si="34"/>
        <v>1</v>
      </c>
      <c r="AV109" s="9">
        <f t="shared" si="35"/>
        <v>80</v>
      </c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s="11" customFormat="1" ht="35.25" customHeight="1" x14ac:dyDescent="0.15">
      <c r="A110" s="46"/>
      <c r="B110" s="43"/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1</v>
      </c>
      <c r="X110" s="29" t="s">
        <v>75</v>
      </c>
      <c r="Y110" s="9" t="s">
        <v>62</v>
      </c>
      <c r="Z110" s="9">
        <v>80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17">
        <v>0</v>
      </c>
      <c r="AR110" s="9">
        <v>0</v>
      </c>
      <c r="AS110" s="9">
        <v>0</v>
      </c>
      <c r="AT110" s="17">
        <v>0</v>
      </c>
      <c r="AU110" s="9">
        <f t="shared" si="34"/>
        <v>1</v>
      </c>
      <c r="AV110" s="9">
        <f t="shared" si="35"/>
        <v>80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s="11" customFormat="1" ht="35.25" customHeight="1" x14ac:dyDescent="0.15">
      <c r="A111" s="46"/>
      <c r="B111" s="43"/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1</v>
      </c>
      <c r="AN111" s="29" t="s">
        <v>84</v>
      </c>
      <c r="AO111" s="9" t="s">
        <v>79</v>
      </c>
      <c r="AP111" s="9">
        <v>106</v>
      </c>
      <c r="AQ111" s="17">
        <v>0</v>
      </c>
      <c r="AR111" s="9">
        <v>0</v>
      </c>
      <c r="AS111" s="9">
        <v>0</v>
      </c>
      <c r="AT111" s="17">
        <v>0</v>
      </c>
      <c r="AU111" s="9">
        <f t="shared" si="34"/>
        <v>1</v>
      </c>
      <c r="AV111" s="9">
        <f t="shared" si="35"/>
        <v>106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s="11" customFormat="1" ht="35.25" customHeight="1" x14ac:dyDescent="0.15">
      <c r="A112" s="46"/>
      <c r="B112" s="43"/>
      <c r="C112" s="9">
        <v>1</v>
      </c>
      <c r="D112" s="29" t="s">
        <v>131</v>
      </c>
      <c r="E112" s="9" t="s">
        <v>90</v>
      </c>
      <c r="F112" s="9">
        <v>130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17">
        <v>0</v>
      </c>
      <c r="AR112" s="9">
        <v>0</v>
      </c>
      <c r="AS112" s="9">
        <v>0</v>
      </c>
      <c r="AT112" s="17">
        <v>0</v>
      </c>
      <c r="AU112" s="9">
        <f t="shared" si="34"/>
        <v>1</v>
      </c>
      <c r="AV112" s="9">
        <f t="shared" si="35"/>
        <v>130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s="11" customFormat="1" ht="35.25" customHeight="1" x14ac:dyDescent="0.15">
      <c r="A113" s="46"/>
      <c r="B113" s="43"/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17">
        <v>1</v>
      </c>
      <c r="AR113" s="39">
        <v>46114</v>
      </c>
      <c r="AS113" s="29" t="s">
        <v>105</v>
      </c>
      <c r="AT113" s="17">
        <v>30</v>
      </c>
      <c r="AU113" s="9">
        <f t="shared" si="34"/>
        <v>1</v>
      </c>
      <c r="AV113" s="9">
        <f t="shared" si="35"/>
        <v>30</v>
      </c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s="11" customFormat="1" ht="35.25" customHeight="1" x14ac:dyDescent="0.15">
      <c r="A114" s="46"/>
      <c r="B114" s="43"/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1</v>
      </c>
      <c r="AN114" s="29" t="s">
        <v>106</v>
      </c>
      <c r="AO114" s="29" t="s">
        <v>99</v>
      </c>
      <c r="AP114" s="9">
        <v>126</v>
      </c>
      <c r="AQ114" s="17">
        <v>0</v>
      </c>
      <c r="AR114" s="9">
        <v>0</v>
      </c>
      <c r="AS114" s="9">
        <v>0</v>
      </c>
      <c r="AT114" s="17">
        <v>0</v>
      </c>
      <c r="AU114" s="9">
        <f t="shared" si="34"/>
        <v>1</v>
      </c>
      <c r="AV114" s="9">
        <f t="shared" si="35"/>
        <v>126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s="11" customFormat="1" ht="35.25" customHeight="1" x14ac:dyDescent="0.15">
      <c r="A115" s="46"/>
      <c r="B115" s="43"/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1</v>
      </c>
      <c r="AN115" s="29" t="s">
        <v>112</v>
      </c>
      <c r="AO115" s="29" t="s">
        <v>99</v>
      </c>
      <c r="AP115" s="9">
        <v>126</v>
      </c>
      <c r="AQ115" s="9">
        <v>0</v>
      </c>
      <c r="AR115" s="9">
        <v>0</v>
      </c>
      <c r="AS115" s="9">
        <v>0</v>
      </c>
      <c r="AT115" s="9">
        <v>0</v>
      </c>
      <c r="AU115" s="9">
        <f t="shared" ref="AU115" si="36">SUM(C115+G115+K115+O115+S115+W115+AA115+AE115+AI115+AM115+AQ115)</f>
        <v>1</v>
      </c>
      <c r="AV115" s="9">
        <f t="shared" ref="AV115" si="37">SUM(F115+J115+N115+R115+V115+Z115+AD115+AH115+AL115+AP115+AT115)</f>
        <v>126</v>
      </c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s="11" customFormat="1" ht="35.25" customHeight="1" x14ac:dyDescent="0.15">
      <c r="A116" s="46"/>
      <c r="B116" s="43"/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1</v>
      </c>
      <c r="AN116" s="29" t="s">
        <v>113</v>
      </c>
      <c r="AO116" s="29" t="s">
        <v>99</v>
      </c>
      <c r="AP116" s="9">
        <v>126</v>
      </c>
      <c r="AQ116" s="17">
        <v>0</v>
      </c>
      <c r="AR116" s="9">
        <v>0</v>
      </c>
      <c r="AS116" s="9">
        <v>0</v>
      </c>
      <c r="AT116" s="17">
        <v>0</v>
      </c>
      <c r="AU116" s="9">
        <f t="shared" ref="AU116:AU124" si="38">SUM(C116+G116+K116+O116+S116+W116+AA116+AE116+AI116+AM116+AQ116)</f>
        <v>1</v>
      </c>
      <c r="AV116" s="9">
        <f t="shared" ref="AV116:AV124" si="39">SUM(F116+J116+N116+R116+V116+Z116+AD116+AH116+AL116+AP116+AT116)</f>
        <v>126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s="11" customFormat="1" ht="35.25" customHeight="1" x14ac:dyDescent="0.15">
      <c r="A117" s="46"/>
      <c r="B117" s="43"/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1</v>
      </c>
      <c r="AN117" s="29" t="s">
        <v>126</v>
      </c>
      <c r="AO117" s="29" t="s">
        <v>99</v>
      </c>
      <c r="AP117" s="9">
        <v>126</v>
      </c>
      <c r="AQ117" s="9">
        <v>0</v>
      </c>
      <c r="AR117" s="9">
        <v>0</v>
      </c>
      <c r="AS117" s="9">
        <v>0</v>
      </c>
      <c r="AT117" s="9">
        <v>0</v>
      </c>
      <c r="AU117" s="9">
        <f t="shared" si="38"/>
        <v>1</v>
      </c>
      <c r="AV117" s="9">
        <f t="shared" si="39"/>
        <v>126</v>
      </c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s="11" customFormat="1" ht="35.25" customHeight="1" x14ac:dyDescent="0.15">
      <c r="A118" s="46"/>
      <c r="B118" s="43"/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1</v>
      </c>
      <c r="AN118" s="29" t="s">
        <v>125</v>
      </c>
      <c r="AO118" s="29" t="s">
        <v>99</v>
      </c>
      <c r="AP118" s="9">
        <v>108</v>
      </c>
      <c r="AQ118" s="9">
        <v>0</v>
      </c>
      <c r="AR118" s="9">
        <v>0</v>
      </c>
      <c r="AS118" s="9">
        <v>0</v>
      </c>
      <c r="AT118" s="9">
        <v>0</v>
      </c>
      <c r="AU118" s="9">
        <f t="shared" ref="AU118:AU120" si="40">SUM(C118+G118+K118+O118+S118+W118+AA118+AE118+AI118+AM118+AQ118)</f>
        <v>1</v>
      </c>
      <c r="AV118" s="9">
        <f t="shared" ref="AV118:AV120" si="41">SUM(F118+J118+N118+R118+V118+Z118+AD118+AH118+AL118+AP118+AT118)</f>
        <v>108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s="11" customFormat="1" ht="35.25" customHeight="1" x14ac:dyDescent="0.15">
      <c r="A119" s="46"/>
      <c r="B119" s="43"/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1</v>
      </c>
      <c r="AR119" s="29" t="s">
        <v>129</v>
      </c>
      <c r="AS119" s="29" t="s">
        <v>99</v>
      </c>
      <c r="AT119" s="9">
        <v>50</v>
      </c>
      <c r="AU119" s="9">
        <f t="shared" si="40"/>
        <v>1</v>
      </c>
      <c r="AV119" s="9">
        <f t="shared" si="41"/>
        <v>50</v>
      </c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s="11" customFormat="1" ht="35.25" customHeight="1" x14ac:dyDescent="0.15">
      <c r="A120" s="46"/>
      <c r="B120" s="43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29"/>
      <c r="AO120" s="29"/>
      <c r="AP120" s="9"/>
      <c r="AQ120" s="17"/>
      <c r="AR120" s="9"/>
      <c r="AS120" s="9"/>
      <c r="AT120" s="17"/>
      <c r="AU120" s="9">
        <f t="shared" si="40"/>
        <v>0</v>
      </c>
      <c r="AV120" s="9">
        <f t="shared" si="41"/>
        <v>0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s="11" customFormat="1" ht="35.25" customHeight="1" x14ac:dyDescent="0.15">
      <c r="A121" s="46"/>
      <c r="B121" s="43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29"/>
      <c r="AO121" s="29"/>
      <c r="AP121" s="9"/>
      <c r="AQ121" s="17"/>
      <c r="AR121" s="9"/>
      <c r="AS121" s="9"/>
      <c r="AT121" s="17"/>
      <c r="AU121" s="9">
        <f t="shared" ref="AU121" si="42">SUM(C121+G121+K121+O121+S121+W121+AA121+AE121+AI121+AM121+AQ121)</f>
        <v>0</v>
      </c>
      <c r="AV121" s="9">
        <f t="shared" ref="AV121" si="43">SUM(F121+J121+N121+R121+V121+Z121+AD121+AH121+AL121+AP121+AT121)</f>
        <v>0</v>
      </c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s="11" customFormat="1" ht="35.25" customHeight="1" x14ac:dyDescent="0.15">
      <c r="A122" s="46"/>
      <c r="B122" s="43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29"/>
      <c r="AO122" s="29"/>
      <c r="AP122" s="9"/>
      <c r="AQ122" s="17"/>
      <c r="AR122" s="9"/>
      <c r="AS122" s="9"/>
      <c r="AT122" s="17"/>
      <c r="AU122" s="9">
        <f t="shared" si="38"/>
        <v>0</v>
      </c>
      <c r="AV122" s="9">
        <f t="shared" si="39"/>
        <v>0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s="11" customFormat="1" ht="35.25" customHeight="1" x14ac:dyDescent="0.15">
      <c r="A123" s="46"/>
      <c r="B123" s="43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29"/>
      <c r="AO123" s="29"/>
      <c r="AP123" s="9"/>
      <c r="AQ123" s="17"/>
      <c r="AR123" s="9"/>
      <c r="AS123" s="9"/>
      <c r="AT123" s="17"/>
      <c r="AU123" s="9">
        <f t="shared" si="38"/>
        <v>0</v>
      </c>
      <c r="AV123" s="9">
        <f t="shared" si="39"/>
        <v>0</v>
      </c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s="11" customFormat="1" ht="35.25" customHeight="1" x14ac:dyDescent="0.15">
      <c r="A124" s="46"/>
      <c r="B124" s="43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37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17">
        <v>0</v>
      </c>
      <c r="AR124" s="9">
        <v>0</v>
      </c>
      <c r="AS124" s="9">
        <v>0</v>
      </c>
      <c r="AT124" s="17">
        <v>0</v>
      </c>
      <c r="AU124" s="9">
        <f t="shared" si="38"/>
        <v>0</v>
      </c>
      <c r="AV124" s="9">
        <f t="shared" si="39"/>
        <v>0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s="11" customFormat="1" ht="13" x14ac:dyDescent="0.15">
      <c r="A125" s="46"/>
      <c r="B125" s="43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17">
        <v>0</v>
      </c>
      <c r="AR125" s="9">
        <v>0</v>
      </c>
      <c r="AS125" s="9">
        <v>0</v>
      </c>
      <c r="AT125" s="17">
        <v>0</v>
      </c>
      <c r="AU125" s="9">
        <f t="shared" si="34"/>
        <v>0</v>
      </c>
      <c r="AV125" s="9">
        <f t="shared" si="35"/>
        <v>0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s="11" customFormat="1" ht="13" x14ac:dyDescent="0.15">
      <c r="A126" s="46"/>
      <c r="B126" s="44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17">
        <v>0</v>
      </c>
      <c r="AR126" s="9">
        <v>0</v>
      </c>
      <c r="AS126" s="9">
        <v>0</v>
      </c>
      <c r="AT126" s="17">
        <v>0</v>
      </c>
      <c r="AU126" s="9">
        <f t="shared" si="34"/>
        <v>0</v>
      </c>
      <c r="AV126" s="9">
        <f t="shared" si="35"/>
        <v>0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s="21" customFormat="1" ht="13" x14ac:dyDescent="0.15">
      <c r="A127" s="47"/>
      <c r="B127" s="22" t="s">
        <v>18</v>
      </c>
      <c r="C127" s="23">
        <f>SUM(C107:C126)</f>
        <v>1</v>
      </c>
      <c r="D127" s="23"/>
      <c r="E127" s="23"/>
      <c r="F127" s="23">
        <f t="shared" ref="F127:AV127" si="44">SUM(F107:F126)</f>
        <v>130</v>
      </c>
      <c r="G127" s="23">
        <f t="shared" si="44"/>
        <v>0</v>
      </c>
      <c r="H127" s="23"/>
      <c r="I127" s="23"/>
      <c r="J127" s="23">
        <f t="shared" si="44"/>
        <v>0</v>
      </c>
      <c r="K127" s="23">
        <f t="shared" si="44"/>
        <v>0</v>
      </c>
      <c r="L127" s="23"/>
      <c r="M127" s="23"/>
      <c r="N127" s="23">
        <f t="shared" si="44"/>
        <v>0</v>
      </c>
      <c r="O127" s="23">
        <f t="shared" si="44"/>
        <v>0</v>
      </c>
      <c r="P127" s="23"/>
      <c r="Q127" s="23"/>
      <c r="R127" s="23">
        <f t="shared" si="44"/>
        <v>0</v>
      </c>
      <c r="S127" s="23">
        <f t="shared" si="44"/>
        <v>0</v>
      </c>
      <c r="T127" s="23"/>
      <c r="U127" s="23"/>
      <c r="V127" s="23">
        <f t="shared" si="44"/>
        <v>0</v>
      </c>
      <c r="W127" s="23">
        <f t="shared" si="44"/>
        <v>4</v>
      </c>
      <c r="X127" s="23"/>
      <c r="Y127" s="23"/>
      <c r="Z127" s="23">
        <f t="shared" si="44"/>
        <v>400</v>
      </c>
      <c r="AA127" s="23">
        <f t="shared" si="44"/>
        <v>0</v>
      </c>
      <c r="AB127" s="23"/>
      <c r="AC127" s="23"/>
      <c r="AD127" s="23">
        <f t="shared" si="44"/>
        <v>0</v>
      </c>
      <c r="AE127" s="23">
        <f t="shared" si="44"/>
        <v>0</v>
      </c>
      <c r="AF127" s="23"/>
      <c r="AG127" s="23"/>
      <c r="AH127" s="23">
        <f t="shared" si="44"/>
        <v>0</v>
      </c>
      <c r="AI127" s="23">
        <f t="shared" si="44"/>
        <v>0</v>
      </c>
      <c r="AJ127" s="23"/>
      <c r="AK127" s="23"/>
      <c r="AL127" s="23">
        <f t="shared" si="44"/>
        <v>0</v>
      </c>
      <c r="AM127" s="23">
        <f t="shared" si="44"/>
        <v>6</v>
      </c>
      <c r="AN127" s="23"/>
      <c r="AO127" s="23"/>
      <c r="AP127" s="23">
        <f t="shared" si="44"/>
        <v>718</v>
      </c>
      <c r="AQ127" s="23">
        <f>SUM(AQ107:AQ126)</f>
        <v>2</v>
      </c>
      <c r="AR127" s="23"/>
      <c r="AS127" s="23"/>
      <c r="AT127" s="23">
        <f>SUM(AT107:AT126)</f>
        <v>80</v>
      </c>
      <c r="AU127" s="23">
        <f t="shared" si="44"/>
        <v>13</v>
      </c>
      <c r="AV127" s="23">
        <f t="shared" si="44"/>
        <v>1328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72" s="11" customFormat="1" ht="28" x14ac:dyDescent="0.15">
      <c r="A128" s="45">
        <v>10</v>
      </c>
      <c r="B128" s="42" t="s">
        <v>29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1</v>
      </c>
      <c r="T128" s="29" t="s">
        <v>130</v>
      </c>
      <c r="U128" s="9" t="s">
        <v>128</v>
      </c>
      <c r="V128" s="9">
        <v>40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17">
        <v>0</v>
      </c>
      <c r="AR128" s="9">
        <v>0</v>
      </c>
      <c r="AS128" s="9">
        <v>0</v>
      </c>
      <c r="AT128" s="17">
        <v>0</v>
      </c>
      <c r="AU128" s="9">
        <f>SUM(C128+G128+K128+O128+S128+W128+AA128+AE128+AI128+AM128+AQ128)</f>
        <v>1</v>
      </c>
      <c r="AV128" s="9">
        <f>SUM(F128+J128+N128+R128+V128+Z128+AD128+AH128+AL128+AP128+AT128)</f>
        <v>40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s="11" customFormat="1" ht="13" x14ac:dyDescent="0.15">
      <c r="A129" s="46"/>
      <c r="B129" s="43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17">
        <v>0</v>
      </c>
      <c r="AR129" s="9">
        <v>0</v>
      </c>
      <c r="AS129" s="9">
        <v>0</v>
      </c>
      <c r="AT129" s="17">
        <v>0</v>
      </c>
      <c r="AU129" s="9">
        <f t="shared" ref="AU129:AU134" si="45">SUM(C129+G129+K129+O129+S129+W129+AA129+AE129+AI129+AM129+AQ129)</f>
        <v>0</v>
      </c>
      <c r="AV129" s="9">
        <f t="shared" ref="AV129:AV134" si="46">SUM(F129+J129+N129+R129+V129+Z129+AD129+AH129+AL129+AP129+AT129)</f>
        <v>0</v>
      </c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s="11" customFormat="1" ht="13" x14ac:dyDescent="0.15">
      <c r="A130" s="46"/>
      <c r="B130" s="43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17">
        <v>0</v>
      </c>
      <c r="AR130" s="9">
        <v>0</v>
      </c>
      <c r="AS130" s="9">
        <v>0</v>
      </c>
      <c r="AT130" s="17">
        <v>0</v>
      </c>
      <c r="AU130" s="9">
        <f t="shared" si="45"/>
        <v>0</v>
      </c>
      <c r="AV130" s="9">
        <f t="shared" si="46"/>
        <v>0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s="11" customFormat="1" ht="13" x14ac:dyDescent="0.15">
      <c r="A131" s="46"/>
      <c r="B131" s="43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17">
        <v>0</v>
      </c>
      <c r="AR131" s="9">
        <v>0</v>
      </c>
      <c r="AS131" s="9">
        <v>0</v>
      </c>
      <c r="AT131" s="17">
        <v>0</v>
      </c>
      <c r="AU131" s="9">
        <f t="shared" si="45"/>
        <v>0</v>
      </c>
      <c r="AV131" s="9">
        <f t="shared" si="46"/>
        <v>0</v>
      </c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s="11" customFormat="1" ht="13" x14ac:dyDescent="0.15">
      <c r="A132" s="46"/>
      <c r="B132" s="43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17">
        <v>0</v>
      </c>
      <c r="AR132" s="9">
        <v>0</v>
      </c>
      <c r="AS132" s="9">
        <v>0</v>
      </c>
      <c r="AT132" s="17">
        <v>0</v>
      </c>
      <c r="AU132" s="9">
        <f t="shared" si="45"/>
        <v>0</v>
      </c>
      <c r="AV132" s="9">
        <f t="shared" si="46"/>
        <v>0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s="11" customFormat="1" ht="13" x14ac:dyDescent="0.15">
      <c r="A133" s="46"/>
      <c r="B133" s="43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17">
        <v>0</v>
      </c>
      <c r="AR133" s="9">
        <v>0</v>
      </c>
      <c r="AS133" s="9">
        <v>0</v>
      </c>
      <c r="AT133" s="17">
        <v>0</v>
      </c>
      <c r="AU133" s="9">
        <f t="shared" si="45"/>
        <v>0</v>
      </c>
      <c r="AV133" s="9">
        <f t="shared" si="46"/>
        <v>0</v>
      </c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s="11" customFormat="1" ht="13" x14ac:dyDescent="0.15">
      <c r="A134" s="46"/>
      <c r="B134" s="44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17">
        <v>0</v>
      </c>
      <c r="AR134" s="9">
        <v>0</v>
      </c>
      <c r="AS134" s="9">
        <v>0</v>
      </c>
      <c r="AT134" s="17">
        <v>0</v>
      </c>
      <c r="AU134" s="9">
        <f t="shared" si="45"/>
        <v>0</v>
      </c>
      <c r="AV134" s="9">
        <f t="shared" si="46"/>
        <v>0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s="21" customFormat="1" ht="13" x14ac:dyDescent="0.15">
      <c r="A135" s="47"/>
      <c r="B135" s="22" t="s">
        <v>18</v>
      </c>
      <c r="C135" s="23">
        <f>SUM(C128:C134)</f>
        <v>0</v>
      </c>
      <c r="D135" s="23"/>
      <c r="E135" s="23"/>
      <c r="F135" s="23">
        <f t="shared" ref="F135:AV135" si="47">SUM(F128:F134)</f>
        <v>0</v>
      </c>
      <c r="G135" s="23">
        <f t="shared" si="47"/>
        <v>0</v>
      </c>
      <c r="H135" s="23"/>
      <c r="I135" s="23"/>
      <c r="J135" s="23">
        <f t="shared" si="47"/>
        <v>0</v>
      </c>
      <c r="K135" s="23">
        <f t="shared" si="47"/>
        <v>0</v>
      </c>
      <c r="L135" s="23"/>
      <c r="M135" s="23"/>
      <c r="N135" s="23">
        <f t="shared" si="47"/>
        <v>0</v>
      </c>
      <c r="O135" s="23">
        <f t="shared" si="47"/>
        <v>0</v>
      </c>
      <c r="P135" s="23"/>
      <c r="Q135" s="23"/>
      <c r="R135" s="23">
        <f t="shared" si="47"/>
        <v>0</v>
      </c>
      <c r="S135" s="23">
        <f t="shared" si="47"/>
        <v>1</v>
      </c>
      <c r="T135" s="23"/>
      <c r="U135" s="23"/>
      <c r="V135" s="23">
        <f t="shared" si="47"/>
        <v>40</v>
      </c>
      <c r="W135" s="23">
        <f t="shared" si="47"/>
        <v>0</v>
      </c>
      <c r="X135" s="23"/>
      <c r="Y135" s="23"/>
      <c r="Z135" s="23">
        <f t="shared" si="47"/>
        <v>0</v>
      </c>
      <c r="AA135" s="23">
        <f t="shared" si="47"/>
        <v>0</v>
      </c>
      <c r="AB135" s="23"/>
      <c r="AC135" s="23"/>
      <c r="AD135" s="23">
        <f t="shared" si="47"/>
        <v>0</v>
      </c>
      <c r="AE135" s="23">
        <f t="shared" si="47"/>
        <v>0</v>
      </c>
      <c r="AF135" s="23"/>
      <c r="AG135" s="23"/>
      <c r="AH135" s="23">
        <f t="shared" si="47"/>
        <v>0</v>
      </c>
      <c r="AI135" s="23">
        <f t="shared" si="47"/>
        <v>0</v>
      </c>
      <c r="AJ135" s="23"/>
      <c r="AK135" s="23"/>
      <c r="AL135" s="23">
        <f t="shared" si="47"/>
        <v>0</v>
      </c>
      <c r="AM135" s="23">
        <f t="shared" si="47"/>
        <v>0</v>
      </c>
      <c r="AN135" s="23"/>
      <c r="AO135" s="23"/>
      <c r="AP135" s="23">
        <f t="shared" si="47"/>
        <v>0</v>
      </c>
      <c r="AQ135" s="23">
        <f>SUM(AQ128:AQ134)</f>
        <v>0</v>
      </c>
      <c r="AR135" s="23"/>
      <c r="AS135" s="23"/>
      <c r="AT135" s="23">
        <f>SUM(AT128:AT134)</f>
        <v>0</v>
      </c>
      <c r="AU135" s="23">
        <f t="shared" si="47"/>
        <v>1</v>
      </c>
      <c r="AV135" s="23">
        <f t="shared" si="47"/>
        <v>40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72" s="11" customFormat="1" ht="26.25" customHeight="1" x14ac:dyDescent="0.15">
      <c r="A136" s="45">
        <v>11</v>
      </c>
      <c r="B136" s="42" t="s">
        <v>30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1</v>
      </c>
      <c r="X136" s="29" t="s">
        <v>69</v>
      </c>
      <c r="Y136" s="9" t="s">
        <v>70</v>
      </c>
      <c r="Z136" s="9">
        <v>160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17">
        <v>0</v>
      </c>
      <c r="AR136" s="9">
        <v>0</v>
      </c>
      <c r="AS136" s="9">
        <v>0</v>
      </c>
      <c r="AT136" s="17">
        <v>0</v>
      </c>
      <c r="AU136" s="9">
        <f>SUM(C136+G136+K136+O136+S136+W136+AA136+AE136+AI136+AM136+AQ136)</f>
        <v>1</v>
      </c>
      <c r="AV136" s="9">
        <f>SUM(F136+J136+N136+R136+V136+Z136+AD136+AH136+AL136+AP136+AT136)</f>
        <v>160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s="11" customFormat="1" ht="26.25" customHeight="1" x14ac:dyDescent="0.15">
      <c r="A137" s="46"/>
      <c r="B137" s="43"/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1</v>
      </c>
      <c r="X137" s="29" t="s">
        <v>63</v>
      </c>
      <c r="Y137" s="9" t="s">
        <v>62</v>
      </c>
      <c r="Z137" s="9">
        <v>80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17">
        <v>0</v>
      </c>
      <c r="AR137" s="9">
        <v>0</v>
      </c>
      <c r="AS137" s="9">
        <v>0</v>
      </c>
      <c r="AT137" s="17">
        <v>0</v>
      </c>
      <c r="AU137" s="9">
        <f t="shared" ref="AU137:AU162" si="48">SUM(C137+G137+K137+O137+S137+W137+AA137+AE137+AI137+AM137+AQ137)</f>
        <v>1</v>
      </c>
      <c r="AV137" s="9">
        <f t="shared" ref="AV137:AV162" si="49">SUM(F137+J137+N137+R137+V137+Z137+AD137+AH137+AL137+AP137+AT137)</f>
        <v>80</v>
      </c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s="11" customFormat="1" ht="27" customHeight="1" x14ac:dyDescent="0.15">
      <c r="A138" s="46"/>
      <c r="B138" s="43"/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1</v>
      </c>
      <c r="X138" s="29" t="s">
        <v>61</v>
      </c>
      <c r="Y138" s="9" t="s">
        <v>62</v>
      </c>
      <c r="Z138" s="9">
        <v>80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17">
        <v>0</v>
      </c>
      <c r="AR138" s="9">
        <v>0</v>
      </c>
      <c r="AS138" s="9">
        <v>0</v>
      </c>
      <c r="AT138" s="17">
        <v>0</v>
      </c>
      <c r="AU138" s="9">
        <f t="shared" si="48"/>
        <v>1</v>
      </c>
      <c r="AV138" s="9">
        <f t="shared" si="49"/>
        <v>80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s="11" customFormat="1" ht="28" x14ac:dyDescent="0.15">
      <c r="A139" s="46"/>
      <c r="B139" s="43"/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1</v>
      </c>
      <c r="X139" s="37" t="s">
        <v>67</v>
      </c>
      <c r="Y139" s="9" t="s">
        <v>62</v>
      </c>
      <c r="Z139" s="9">
        <v>80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17">
        <v>0</v>
      </c>
      <c r="AR139" s="9">
        <v>0</v>
      </c>
      <c r="AS139" s="9">
        <v>0</v>
      </c>
      <c r="AT139" s="17">
        <v>0</v>
      </c>
      <c r="AU139" s="9">
        <f t="shared" si="48"/>
        <v>1</v>
      </c>
      <c r="AV139" s="9">
        <f t="shared" si="49"/>
        <v>80</v>
      </c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s="11" customFormat="1" ht="28" x14ac:dyDescent="0.15">
      <c r="A140" s="46"/>
      <c r="B140" s="43"/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1</v>
      </c>
      <c r="AN140" s="29" t="s">
        <v>78</v>
      </c>
      <c r="AO140" s="9" t="s">
        <v>79</v>
      </c>
      <c r="AP140" s="9">
        <v>106</v>
      </c>
      <c r="AQ140" s="17">
        <v>0</v>
      </c>
      <c r="AR140" s="9">
        <v>0</v>
      </c>
      <c r="AS140" s="9">
        <v>0</v>
      </c>
      <c r="AT140" s="17">
        <v>0</v>
      </c>
      <c r="AU140" s="9">
        <f t="shared" si="48"/>
        <v>1</v>
      </c>
      <c r="AV140" s="9">
        <f t="shared" si="49"/>
        <v>106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s="11" customFormat="1" ht="28" x14ac:dyDescent="0.15">
      <c r="A141" s="46"/>
      <c r="B141" s="43"/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1</v>
      </c>
      <c r="AN141" s="29" t="s">
        <v>84</v>
      </c>
      <c r="AO141" s="9" t="s">
        <v>79</v>
      </c>
      <c r="AP141" s="9">
        <v>106</v>
      </c>
      <c r="AQ141" s="17">
        <v>0</v>
      </c>
      <c r="AR141" s="9">
        <v>0</v>
      </c>
      <c r="AS141" s="9">
        <v>0</v>
      </c>
      <c r="AT141" s="17">
        <v>0</v>
      </c>
      <c r="AU141" s="9">
        <f t="shared" si="48"/>
        <v>1</v>
      </c>
      <c r="AV141" s="9">
        <f t="shared" si="49"/>
        <v>106</v>
      </c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s="11" customFormat="1" ht="28" x14ac:dyDescent="0.15">
      <c r="A142" s="46"/>
      <c r="B142" s="43"/>
      <c r="C142" s="9">
        <v>1</v>
      </c>
      <c r="D142" s="29" t="s">
        <v>131</v>
      </c>
      <c r="E142" s="9" t="s">
        <v>90</v>
      </c>
      <c r="F142" s="9">
        <v>130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17">
        <v>0</v>
      </c>
      <c r="AR142" s="9">
        <v>0</v>
      </c>
      <c r="AS142" s="9">
        <v>0</v>
      </c>
      <c r="AT142" s="17">
        <v>0</v>
      </c>
      <c r="AU142" s="9">
        <f t="shared" si="48"/>
        <v>1</v>
      </c>
      <c r="AV142" s="9">
        <f t="shared" si="49"/>
        <v>130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s="11" customFormat="1" ht="28" x14ac:dyDescent="0.15">
      <c r="A143" s="46"/>
      <c r="B143" s="43"/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1</v>
      </c>
      <c r="AN143" s="29" t="s">
        <v>102</v>
      </c>
      <c r="AO143" s="29" t="s">
        <v>99</v>
      </c>
      <c r="AP143" s="9">
        <v>126</v>
      </c>
      <c r="AQ143" s="17">
        <v>0</v>
      </c>
      <c r="AR143" s="9">
        <v>0</v>
      </c>
      <c r="AS143" s="9">
        <v>0</v>
      </c>
      <c r="AT143" s="17">
        <v>0</v>
      </c>
      <c r="AU143" s="9">
        <f t="shared" si="48"/>
        <v>1</v>
      </c>
      <c r="AV143" s="9">
        <f t="shared" si="49"/>
        <v>126</v>
      </c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s="11" customFormat="1" ht="28" x14ac:dyDescent="0.15">
      <c r="A144" s="46"/>
      <c r="B144" s="43"/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1</v>
      </c>
      <c r="AN144" s="29" t="s">
        <v>111</v>
      </c>
      <c r="AO144" s="29" t="s">
        <v>99</v>
      </c>
      <c r="AP144" s="9">
        <v>126</v>
      </c>
      <c r="AQ144" s="17">
        <v>0</v>
      </c>
      <c r="AR144" s="9">
        <v>0</v>
      </c>
      <c r="AS144" s="9">
        <v>0</v>
      </c>
      <c r="AT144" s="17">
        <v>0</v>
      </c>
      <c r="AU144" s="9">
        <f t="shared" si="48"/>
        <v>1</v>
      </c>
      <c r="AV144" s="9">
        <f t="shared" si="49"/>
        <v>126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s="11" customFormat="1" ht="28" x14ac:dyDescent="0.15">
      <c r="A145" s="46"/>
      <c r="B145" s="43"/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1</v>
      </c>
      <c r="AN145" s="29" t="s">
        <v>113</v>
      </c>
      <c r="AO145" s="29" t="s">
        <v>99</v>
      </c>
      <c r="AP145" s="9">
        <v>126</v>
      </c>
      <c r="AQ145" s="17">
        <v>0</v>
      </c>
      <c r="AR145" s="9">
        <v>0</v>
      </c>
      <c r="AS145" s="9">
        <v>0</v>
      </c>
      <c r="AT145" s="17">
        <v>0</v>
      </c>
      <c r="AU145" s="9">
        <f t="shared" si="48"/>
        <v>1</v>
      </c>
      <c r="AV145" s="9">
        <f t="shared" si="49"/>
        <v>126</v>
      </c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s="11" customFormat="1" ht="28" x14ac:dyDescent="0.15">
      <c r="A146" s="46"/>
      <c r="B146" s="43"/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1</v>
      </c>
      <c r="AN146" s="29" t="s">
        <v>113</v>
      </c>
      <c r="AO146" s="29" t="s">
        <v>99</v>
      </c>
      <c r="AP146" s="9">
        <v>126</v>
      </c>
      <c r="AQ146" s="17">
        <v>0</v>
      </c>
      <c r="AR146" s="9">
        <v>0</v>
      </c>
      <c r="AS146" s="9">
        <v>0</v>
      </c>
      <c r="AT146" s="17">
        <v>0</v>
      </c>
      <c r="AU146" s="9">
        <f t="shared" si="48"/>
        <v>1</v>
      </c>
      <c r="AV146" s="9">
        <f t="shared" si="49"/>
        <v>126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s="11" customFormat="1" ht="28" x14ac:dyDescent="0.15">
      <c r="A147" s="46"/>
      <c r="B147" s="43"/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1</v>
      </c>
      <c r="AN147" s="29" t="s">
        <v>119</v>
      </c>
      <c r="AO147" s="29" t="s">
        <v>99</v>
      </c>
      <c r="AP147" s="9">
        <v>126</v>
      </c>
      <c r="AQ147" s="17">
        <v>0</v>
      </c>
      <c r="AR147" s="9">
        <v>0</v>
      </c>
      <c r="AS147" s="9">
        <v>0</v>
      </c>
      <c r="AT147" s="17">
        <v>0</v>
      </c>
      <c r="AU147" s="9">
        <f t="shared" si="48"/>
        <v>1</v>
      </c>
      <c r="AV147" s="9">
        <f t="shared" si="49"/>
        <v>126</v>
      </c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spans="1:72" s="11" customFormat="1" ht="28" x14ac:dyDescent="0.15">
      <c r="A148" s="46"/>
      <c r="B148" s="43"/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1</v>
      </c>
      <c r="AN148" s="29" t="s">
        <v>120</v>
      </c>
      <c r="AO148" s="29" t="s">
        <v>99</v>
      </c>
      <c r="AP148" s="9">
        <v>126</v>
      </c>
      <c r="AQ148" s="17">
        <v>0</v>
      </c>
      <c r="AR148" s="9">
        <v>0</v>
      </c>
      <c r="AS148" s="9">
        <v>0</v>
      </c>
      <c r="AT148" s="17">
        <v>0</v>
      </c>
      <c r="AU148" s="9">
        <f t="shared" si="48"/>
        <v>1</v>
      </c>
      <c r="AV148" s="9">
        <f t="shared" si="49"/>
        <v>126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spans="1:72" s="11" customFormat="1" ht="28" x14ac:dyDescent="0.15">
      <c r="A149" s="46"/>
      <c r="B149" s="43"/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1</v>
      </c>
      <c r="P149" s="29" t="s">
        <v>122</v>
      </c>
      <c r="Q149" s="9" t="s">
        <v>123</v>
      </c>
      <c r="R149" s="9">
        <v>120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17">
        <v>0</v>
      </c>
      <c r="AR149" s="9">
        <v>0</v>
      </c>
      <c r="AS149" s="9">
        <v>0</v>
      </c>
      <c r="AT149" s="17">
        <v>0</v>
      </c>
      <c r="AU149" s="9">
        <f t="shared" si="48"/>
        <v>1</v>
      </c>
      <c r="AV149" s="9">
        <f t="shared" si="49"/>
        <v>120</v>
      </c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spans="1:72" s="11" customFormat="1" ht="28" x14ac:dyDescent="0.15">
      <c r="A150" s="46"/>
      <c r="B150" s="43"/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1</v>
      </c>
      <c r="AR150" s="29" t="s">
        <v>129</v>
      </c>
      <c r="AS150" s="29" t="s">
        <v>99</v>
      </c>
      <c r="AT150" s="9">
        <v>50</v>
      </c>
      <c r="AU150" s="9">
        <f t="shared" ref="AU150" si="50">SUM(C150+G150+K150+O150+S150+W150+AA150+AE150+AI150+AM150+AQ150)</f>
        <v>1</v>
      </c>
      <c r="AV150" s="9">
        <f t="shared" ref="AV150" si="51">SUM(F150+J150+N150+R150+V150+Z150+AD150+AH150+AL150+AP150+AT150)</f>
        <v>50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spans="1:72" s="11" customFormat="1" ht="13" x14ac:dyDescent="0.15">
      <c r="A151" s="46"/>
      <c r="B151" s="43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2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17"/>
      <c r="AR151" s="9"/>
      <c r="AS151" s="9"/>
      <c r="AT151" s="17"/>
      <c r="AU151" s="9"/>
      <c r="AV151" s="9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spans="1:72" s="11" customFormat="1" ht="13" x14ac:dyDescent="0.15">
      <c r="A152" s="46"/>
      <c r="B152" s="43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2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17"/>
      <c r="AR152" s="9"/>
      <c r="AS152" s="9"/>
      <c r="AT152" s="17"/>
      <c r="AU152" s="9"/>
      <c r="AV152" s="9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spans="1:72" s="11" customFormat="1" ht="13" x14ac:dyDescent="0.15">
      <c r="A153" s="46"/>
      <c r="B153" s="43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2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17"/>
      <c r="AR153" s="9"/>
      <c r="AS153" s="9"/>
      <c r="AT153" s="17"/>
      <c r="AU153" s="9"/>
      <c r="AV153" s="9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spans="1:72" s="11" customFormat="1" ht="13" x14ac:dyDescent="0.15">
      <c r="A154" s="46"/>
      <c r="B154" s="43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2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17"/>
      <c r="AR154" s="9"/>
      <c r="AS154" s="9"/>
      <c r="AT154" s="17"/>
      <c r="AU154" s="9"/>
      <c r="AV154" s="9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spans="1:72" s="11" customFormat="1" ht="13" x14ac:dyDescent="0.15">
      <c r="A155" s="46"/>
      <c r="B155" s="43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2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17"/>
      <c r="AR155" s="9"/>
      <c r="AS155" s="9"/>
      <c r="AT155" s="17"/>
      <c r="AU155" s="9"/>
      <c r="AV155" s="9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spans="1:72" s="11" customFormat="1" ht="13" x14ac:dyDescent="0.15">
      <c r="A156" s="46"/>
      <c r="B156" s="43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2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17"/>
      <c r="AR156" s="9"/>
      <c r="AS156" s="9"/>
      <c r="AT156" s="17"/>
      <c r="AU156" s="9"/>
      <c r="AV156" s="9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spans="1:72" s="11" customFormat="1" ht="13" x14ac:dyDescent="0.15">
      <c r="A157" s="46"/>
      <c r="B157" s="43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2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17"/>
      <c r="AR157" s="9"/>
      <c r="AS157" s="9"/>
      <c r="AT157" s="17"/>
      <c r="AU157" s="9"/>
      <c r="AV157" s="9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spans="1:72" s="11" customFormat="1" ht="13" x14ac:dyDescent="0.15">
      <c r="A158" s="46"/>
      <c r="B158" s="43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2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17"/>
      <c r="AR158" s="9"/>
      <c r="AS158" s="9"/>
      <c r="AT158" s="17"/>
      <c r="AU158" s="9"/>
      <c r="AV158" s="9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spans="1:72" s="11" customFormat="1" ht="13" x14ac:dyDescent="0.15">
      <c r="A159" s="46"/>
      <c r="B159" s="43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2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17"/>
      <c r="AR159" s="9"/>
      <c r="AS159" s="9"/>
      <c r="AT159" s="17"/>
      <c r="AU159" s="9"/>
      <c r="AV159" s="9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spans="1:72" s="11" customFormat="1" ht="13" x14ac:dyDescent="0.15">
      <c r="A160" s="46"/>
      <c r="B160" s="43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2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17"/>
      <c r="AR160" s="9"/>
      <c r="AS160" s="9"/>
      <c r="AT160" s="17"/>
      <c r="AU160" s="9"/>
      <c r="AV160" s="9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spans="1:72" s="11" customFormat="1" ht="13" x14ac:dyDescent="0.15">
      <c r="A161" s="46"/>
      <c r="B161" s="43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37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17">
        <v>0</v>
      </c>
      <c r="AR161" s="9">
        <v>0</v>
      </c>
      <c r="AS161" s="9">
        <v>0</v>
      </c>
      <c r="AT161" s="17">
        <v>0</v>
      </c>
      <c r="AU161" s="9">
        <f t="shared" si="48"/>
        <v>0</v>
      </c>
      <c r="AV161" s="9">
        <f t="shared" si="49"/>
        <v>0</v>
      </c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spans="1:72" s="11" customFormat="1" ht="13" x14ac:dyDescent="0.15">
      <c r="A162" s="46"/>
      <c r="B162" s="44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37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17">
        <v>0</v>
      </c>
      <c r="AR162" s="9">
        <v>0</v>
      </c>
      <c r="AS162" s="9">
        <v>0</v>
      </c>
      <c r="AT162" s="17">
        <v>0</v>
      </c>
      <c r="AU162" s="9">
        <f t="shared" si="48"/>
        <v>0</v>
      </c>
      <c r="AV162" s="9">
        <f t="shared" si="49"/>
        <v>0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spans="1:72" s="21" customFormat="1" ht="13" x14ac:dyDescent="0.15">
      <c r="A163" s="47"/>
      <c r="B163" s="22" t="s">
        <v>18</v>
      </c>
      <c r="C163" s="23">
        <f>SUM(C136:C162)</f>
        <v>1</v>
      </c>
      <c r="D163" s="23"/>
      <c r="E163" s="23"/>
      <c r="F163" s="23">
        <f>SUM(F136:F141)</f>
        <v>0</v>
      </c>
      <c r="G163" s="23">
        <f>SUM(G136:G142)</f>
        <v>0</v>
      </c>
      <c r="H163" s="23"/>
      <c r="I163" s="23"/>
      <c r="J163" s="23">
        <f>SUM(J136:J142)</f>
        <v>0</v>
      </c>
      <c r="K163" s="23">
        <f>SUM(K136:K142)</f>
        <v>0</v>
      </c>
      <c r="L163" s="23"/>
      <c r="M163" s="23"/>
      <c r="N163" s="23">
        <f>SUM(N136:N142)</f>
        <v>0</v>
      </c>
      <c r="O163" s="23">
        <f>SUM(O136:O142)</f>
        <v>0</v>
      </c>
      <c r="P163" s="23"/>
      <c r="Q163" s="23"/>
      <c r="R163" s="23">
        <f>SUM(R136:R142)</f>
        <v>0</v>
      </c>
      <c r="S163" s="23">
        <f>SUM(S136:S142)</f>
        <v>0</v>
      </c>
      <c r="T163" s="23"/>
      <c r="U163" s="23"/>
      <c r="V163" s="23">
        <f>SUM(V136:V142)</f>
        <v>0</v>
      </c>
      <c r="W163" s="23">
        <f>SUM(W136:W142)</f>
        <v>4</v>
      </c>
      <c r="X163" s="23"/>
      <c r="Y163" s="23"/>
      <c r="Z163" s="23">
        <f>SUM(Z136:Z142)</f>
        <v>400</v>
      </c>
      <c r="AA163" s="23">
        <f>SUM(AA136:AA142)</f>
        <v>0</v>
      </c>
      <c r="AB163" s="23"/>
      <c r="AC163" s="23"/>
      <c r="AD163" s="23">
        <f>SUM(AD136:AD142)</f>
        <v>0</v>
      </c>
      <c r="AE163" s="23">
        <f>SUM(AE136:AE142)</f>
        <v>0</v>
      </c>
      <c r="AF163" s="23"/>
      <c r="AG163" s="23"/>
      <c r="AH163" s="23">
        <f>SUM(AH136:AH141)</f>
        <v>0</v>
      </c>
      <c r="AI163" s="23">
        <f>SUM(AI136:AI141)</f>
        <v>0</v>
      </c>
      <c r="AJ163" s="23"/>
      <c r="AK163" s="23"/>
      <c r="AL163" s="23">
        <f>SUM(AL136:AL140)</f>
        <v>0</v>
      </c>
      <c r="AM163" s="23">
        <f>SUM(AM136:AM162)</f>
        <v>8</v>
      </c>
      <c r="AN163" s="23"/>
      <c r="AO163" s="23"/>
      <c r="AP163" s="23">
        <f t="shared" ref="AP163" si="52">SUM(AP136:AP162)</f>
        <v>968</v>
      </c>
      <c r="AQ163" s="23">
        <f>SUM(AQ136:AQ162)</f>
        <v>1</v>
      </c>
      <c r="AR163" s="23"/>
      <c r="AS163" s="23"/>
      <c r="AT163" s="23">
        <f>SUM(AT136:AT162)</f>
        <v>50</v>
      </c>
      <c r="AU163" s="23">
        <f>SUM(AU136:AU162)</f>
        <v>15</v>
      </c>
      <c r="AV163" s="23">
        <f>SUM(AV136:AV162)</f>
        <v>1668</v>
      </c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72" s="11" customFormat="1" ht="28" x14ac:dyDescent="0.15">
      <c r="A164" s="45">
        <v>12</v>
      </c>
      <c r="B164" s="42" t="s">
        <v>31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1</v>
      </c>
      <c r="X164" s="29" t="s">
        <v>75</v>
      </c>
      <c r="Y164" s="9" t="s">
        <v>62</v>
      </c>
      <c r="Z164" s="9">
        <v>80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17">
        <v>0</v>
      </c>
      <c r="AR164" s="9">
        <v>0</v>
      </c>
      <c r="AS164" s="9">
        <v>0</v>
      </c>
      <c r="AT164" s="17">
        <v>0</v>
      </c>
      <c r="AU164" s="9">
        <f>SUM(C164+G164+K164+O164+S164+W164+AA164+AE164+AI164+AM164+AQ164)</f>
        <v>1</v>
      </c>
      <c r="AV164" s="9">
        <f>SUM(F164+J164+N164+R164+V164+Z164+AD164+AH164+AL164+AP164+AT164)</f>
        <v>80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spans="1:72" s="11" customFormat="1" ht="28" x14ac:dyDescent="0.15">
      <c r="A165" s="46"/>
      <c r="B165" s="43"/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1</v>
      </c>
      <c r="AN165" s="29" t="s">
        <v>78</v>
      </c>
      <c r="AO165" s="9" t="s">
        <v>79</v>
      </c>
      <c r="AP165" s="9">
        <v>106</v>
      </c>
      <c r="AQ165" s="17">
        <v>0</v>
      </c>
      <c r="AR165" s="9">
        <v>0</v>
      </c>
      <c r="AS165" s="9">
        <v>0</v>
      </c>
      <c r="AT165" s="17">
        <v>0</v>
      </c>
      <c r="AU165" s="9">
        <f t="shared" ref="AU165:AU182" si="53">SUM(C165+G165+K165+O165+S165+W165+AA165+AE165+AI165+AM165+AQ165)</f>
        <v>1</v>
      </c>
      <c r="AV165" s="9">
        <f t="shared" ref="AV165:AV182" si="54">SUM(F165+J165+N165+R165+V165+Z165+AD165+AH165+AL165+AP165+AT165)</f>
        <v>106</v>
      </c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spans="1:72" s="11" customFormat="1" ht="28" x14ac:dyDescent="0.15">
      <c r="A166" s="46"/>
      <c r="B166" s="43"/>
      <c r="C166" s="9">
        <v>1</v>
      </c>
      <c r="D166" s="29" t="s">
        <v>131</v>
      </c>
      <c r="E166" s="9" t="s">
        <v>90</v>
      </c>
      <c r="F166" s="9">
        <v>130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17">
        <v>0</v>
      </c>
      <c r="AR166" s="9">
        <v>0</v>
      </c>
      <c r="AS166" s="9">
        <v>0</v>
      </c>
      <c r="AT166" s="17">
        <v>0</v>
      </c>
      <c r="AU166" s="9">
        <f t="shared" si="53"/>
        <v>1</v>
      </c>
      <c r="AV166" s="9">
        <f t="shared" si="54"/>
        <v>130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spans="1:72" s="11" customFormat="1" ht="28" x14ac:dyDescent="0.15">
      <c r="A167" s="46"/>
      <c r="B167" s="43"/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1</v>
      </c>
      <c r="AN167" s="29" t="s">
        <v>98</v>
      </c>
      <c r="AO167" s="29" t="s">
        <v>99</v>
      </c>
      <c r="AP167" s="9">
        <v>126</v>
      </c>
      <c r="AQ167" s="17">
        <v>0</v>
      </c>
      <c r="AR167" s="9">
        <v>0</v>
      </c>
      <c r="AS167" s="9">
        <v>0</v>
      </c>
      <c r="AT167" s="17">
        <v>0</v>
      </c>
      <c r="AU167" s="9">
        <f t="shared" si="53"/>
        <v>1</v>
      </c>
      <c r="AV167" s="9">
        <f t="shared" si="54"/>
        <v>126</v>
      </c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spans="1:72" s="11" customFormat="1" ht="28" x14ac:dyDescent="0.15">
      <c r="A168" s="46"/>
      <c r="B168" s="43"/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1</v>
      </c>
      <c r="AN168" s="29" t="s">
        <v>109</v>
      </c>
      <c r="AO168" s="29" t="s">
        <v>99</v>
      </c>
      <c r="AP168" s="9">
        <v>126</v>
      </c>
      <c r="AQ168" s="17">
        <v>0</v>
      </c>
      <c r="AR168" s="9">
        <v>0</v>
      </c>
      <c r="AS168" s="9">
        <v>0</v>
      </c>
      <c r="AT168" s="17">
        <v>0</v>
      </c>
      <c r="AU168" s="9">
        <f t="shared" si="53"/>
        <v>1</v>
      </c>
      <c r="AV168" s="9">
        <f t="shared" si="54"/>
        <v>126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spans="1:72" s="11" customFormat="1" ht="28" x14ac:dyDescent="0.15">
      <c r="A169" s="46"/>
      <c r="B169" s="43"/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1</v>
      </c>
      <c r="AN169" s="29" t="s">
        <v>116</v>
      </c>
      <c r="AO169" s="29" t="s">
        <v>99</v>
      </c>
      <c r="AP169" s="9">
        <v>126</v>
      </c>
      <c r="AQ169" s="17">
        <v>0</v>
      </c>
      <c r="AR169" s="9">
        <v>0</v>
      </c>
      <c r="AS169" s="9">
        <v>0</v>
      </c>
      <c r="AT169" s="17">
        <v>0</v>
      </c>
      <c r="AU169" s="9">
        <f t="shared" si="53"/>
        <v>1</v>
      </c>
      <c r="AV169" s="9">
        <f t="shared" si="54"/>
        <v>126</v>
      </c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spans="1:72" s="11" customFormat="1" ht="28" x14ac:dyDescent="0.15">
      <c r="A170" s="46"/>
      <c r="B170" s="43"/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1</v>
      </c>
      <c r="AN170" s="29" t="s">
        <v>115</v>
      </c>
      <c r="AO170" s="29" t="s">
        <v>99</v>
      </c>
      <c r="AP170" s="9">
        <v>126</v>
      </c>
      <c r="AQ170" s="17">
        <v>0</v>
      </c>
      <c r="AR170" s="9">
        <v>0</v>
      </c>
      <c r="AS170" s="9">
        <v>0</v>
      </c>
      <c r="AT170" s="17">
        <v>0</v>
      </c>
      <c r="AU170" s="9">
        <f t="shared" si="53"/>
        <v>1</v>
      </c>
      <c r="AV170" s="9">
        <f t="shared" si="54"/>
        <v>126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spans="1:72" s="11" customFormat="1" ht="28" x14ac:dyDescent="0.15">
      <c r="A171" s="46"/>
      <c r="B171" s="43"/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1</v>
      </c>
      <c r="AN171" s="29" t="s">
        <v>118</v>
      </c>
      <c r="AO171" s="29" t="s">
        <v>99</v>
      </c>
      <c r="AP171" s="9">
        <v>46</v>
      </c>
      <c r="AQ171" s="17">
        <v>0</v>
      </c>
      <c r="AR171" s="9">
        <v>0</v>
      </c>
      <c r="AS171" s="9">
        <v>0</v>
      </c>
      <c r="AT171" s="17">
        <v>0</v>
      </c>
      <c r="AU171" s="9">
        <f t="shared" si="53"/>
        <v>1</v>
      </c>
      <c r="AV171" s="9">
        <f t="shared" si="54"/>
        <v>46</v>
      </c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spans="1:72" s="11" customFormat="1" ht="28" x14ac:dyDescent="0.15">
      <c r="A172" s="46"/>
      <c r="B172" s="43"/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1</v>
      </c>
      <c r="AN172" s="29" t="s">
        <v>118</v>
      </c>
      <c r="AO172" s="29" t="s">
        <v>99</v>
      </c>
      <c r="AP172" s="9">
        <v>100</v>
      </c>
      <c r="AQ172" s="17">
        <v>0</v>
      </c>
      <c r="AR172" s="9">
        <v>0</v>
      </c>
      <c r="AS172" s="9">
        <v>0</v>
      </c>
      <c r="AT172" s="17">
        <v>0</v>
      </c>
      <c r="AU172" s="9">
        <f t="shared" si="53"/>
        <v>1</v>
      </c>
      <c r="AV172" s="9">
        <f t="shared" si="54"/>
        <v>100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spans="1:72" s="11" customFormat="1" ht="13" x14ac:dyDescent="0.15">
      <c r="A173" s="46"/>
      <c r="B173" s="43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29"/>
      <c r="AO173" s="29"/>
      <c r="AP173" s="9"/>
      <c r="AQ173" s="17"/>
      <c r="AR173" s="9"/>
      <c r="AS173" s="9"/>
      <c r="AT173" s="17"/>
      <c r="AU173" s="9"/>
      <c r="AV173" s="9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spans="1:72" s="11" customFormat="1" ht="13" x14ac:dyDescent="0.15">
      <c r="A174" s="46"/>
      <c r="B174" s="43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29"/>
      <c r="AO174" s="29"/>
      <c r="AP174" s="9"/>
      <c r="AQ174" s="17"/>
      <c r="AR174" s="9"/>
      <c r="AS174" s="9"/>
      <c r="AT174" s="17"/>
      <c r="AU174" s="9"/>
      <c r="AV174" s="9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spans="1:72" s="11" customFormat="1" ht="13" x14ac:dyDescent="0.15">
      <c r="A175" s="46"/>
      <c r="B175" s="43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29"/>
      <c r="AO175" s="29"/>
      <c r="AP175" s="9"/>
      <c r="AQ175" s="17"/>
      <c r="AR175" s="9"/>
      <c r="AS175" s="9"/>
      <c r="AT175" s="17"/>
      <c r="AU175" s="9"/>
      <c r="AV175" s="9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spans="1:72" s="11" customFormat="1" ht="13" x14ac:dyDescent="0.15">
      <c r="A176" s="46"/>
      <c r="B176" s="43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29"/>
      <c r="AO176" s="29"/>
      <c r="AP176" s="9"/>
      <c r="AQ176" s="17"/>
      <c r="AR176" s="9"/>
      <c r="AS176" s="9"/>
      <c r="AT176" s="17"/>
      <c r="AU176" s="9"/>
      <c r="AV176" s="9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spans="1:72" s="11" customFormat="1" ht="13" x14ac:dyDescent="0.15">
      <c r="A177" s="46"/>
      <c r="B177" s="43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29"/>
      <c r="AO177" s="29"/>
      <c r="AP177" s="9"/>
      <c r="AQ177" s="17"/>
      <c r="AR177" s="9"/>
      <c r="AS177" s="9"/>
      <c r="AT177" s="17"/>
      <c r="AU177" s="9"/>
      <c r="AV177" s="9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spans="1:72" s="11" customFormat="1" ht="13" x14ac:dyDescent="0.15">
      <c r="A178" s="46"/>
      <c r="B178" s="43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29"/>
      <c r="AO178" s="29"/>
      <c r="AP178" s="9"/>
      <c r="AQ178" s="17"/>
      <c r="AR178" s="9"/>
      <c r="AS178" s="9"/>
      <c r="AT178" s="17"/>
      <c r="AU178" s="9"/>
      <c r="AV178" s="9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spans="1:72" s="11" customFormat="1" ht="13" x14ac:dyDescent="0.15">
      <c r="A179" s="46"/>
      <c r="B179" s="43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29"/>
      <c r="AO179" s="29"/>
      <c r="AP179" s="9"/>
      <c r="AQ179" s="17"/>
      <c r="AR179" s="9"/>
      <c r="AS179" s="9"/>
      <c r="AT179" s="17"/>
      <c r="AU179" s="9"/>
      <c r="AV179" s="9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spans="1:72" s="11" customFormat="1" ht="13" x14ac:dyDescent="0.15">
      <c r="A180" s="46"/>
      <c r="B180" s="43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29"/>
      <c r="AO180" s="29"/>
      <c r="AP180" s="9"/>
      <c r="AQ180" s="17"/>
      <c r="AR180" s="9"/>
      <c r="AS180" s="9"/>
      <c r="AT180" s="17"/>
      <c r="AU180" s="9"/>
      <c r="AV180" s="9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spans="1:72" s="11" customFormat="1" ht="13" x14ac:dyDescent="0.15">
      <c r="A181" s="46"/>
      <c r="B181" s="43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29"/>
      <c r="AO181" s="29"/>
      <c r="AP181" s="9"/>
      <c r="AQ181" s="17"/>
      <c r="AR181" s="9"/>
      <c r="AS181" s="9"/>
      <c r="AT181" s="17"/>
      <c r="AU181" s="9"/>
      <c r="AV181" s="9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spans="1:72" s="11" customFormat="1" ht="13" x14ac:dyDescent="0.15">
      <c r="A182" s="46"/>
      <c r="B182" s="44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7">
        <v>0</v>
      </c>
      <c r="AR182" s="9">
        <v>0</v>
      </c>
      <c r="AS182" s="9">
        <v>0</v>
      </c>
      <c r="AT182" s="17">
        <v>0</v>
      </c>
      <c r="AU182" s="9">
        <f t="shared" si="53"/>
        <v>0</v>
      </c>
      <c r="AV182" s="9">
        <f t="shared" si="54"/>
        <v>0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spans="1:72" s="21" customFormat="1" ht="13" x14ac:dyDescent="0.15">
      <c r="A183" s="47"/>
      <c r="B183" s="22" t="s">
        <v>18</v>
      </c>
      <c r="C183" s="23">
        <f>SUM(C164:C182)</f>
        <v>1</v>
      </c>
      <c r="D183" s="23"/>
      <c r="E183" s="23"/>
      <c r="F183" s="23">
        <f t="shared" ref="F183:AV183" si="55">SUM(F164:F182)</f>
        <v>130</v>
      </c>
      <c r="G183" s="23">
        <f t="shared" si="55"/>
        <v>0</v>
      </c>
      <c r="H183" s="23"/>
      <c r="I183" s="23"/>
      <c r="J183" s="23">
        <f t="shared" si="55"/>
        <v>0</v>
      </c>
      <c r="K183" s="23">
        <f t="shared" si="55"/>
        <v>0</v>
      </c>
      <c r="L183" s="23"/>
      <c r="M183" s="23"/>
      <c r="N183" s="23">
        <f t="shared" si="55"/>
        <v>0</v>
      </c>
      <c r="O183" s="23">
        <f t="shared" si="55"/>
        <v>0</v>
      </c>
      <c r="P183" s="23"/>
      <c r="Q183" s="23"/>
      <c r="R183" s="23">
        <f t="shared" si="55"/>
        <v>0</v>
      </c>
      <c r="S183" s="23">
        <f t="shared" si="55"/>
        <v>0</v>
      </c>
      <c r="T183" s="23"/>
      <c r="U183" s="23"/>
      <c r="V183" s="23">
        <f t="shared" si="55"/>
        <v>0</v>
      </c>
      <c r="W183" s="23">
        <f t="shared" si="55"/>
        <v>1</v>
      </c>
      <c r="X183" s="23"/>
      <c r="Y183" s="23"/>
      <c r="Z183" s="23">
        <f t="shared" si="55"/>
        <v>80</v>
      </c>
      <c r="AA183" s="23">
        <f t="shared" si="55"/>
        <v>0</v>
      </c>
      <c r="AB183" s="23"/>
      <c r="AC183" s="23"/>
      <c r="AD183" s="23">
        <f t="shared" si="55"/>
        <v>0</v>
      </c>
      <c r="AE183" s="23">
        <f t="shared" si="55"/>
        <v>0</v>
      </c>
      <c r="AF183" s="23"/>
      <c r="AG183" s="23"/>
      <c r="AH183" s="23">
        <f t="shared" si="55"/>
        <v>0</v>
      </c>
      <c r="AI183" s="23">
        <f t="shared" si="55"/>
        <v>0</v>
      </c>
      <c r="AJ183" s="23"/>
      <c r="AK183" s="23"/>
      <c r="AL183" s="23">
        <f t="shared" si="55"/>
        <v>0</v>
      </c>
      <c r="AM183" s="23">
        <f t="shared" si="55"/>
        <v>7</v>
      </c>
      <c r="AN183" s="23"/>
      <c r="AO183" s="23"/>
      <c r="AP183" s="23">
        <f t="shared" si="55"/>
        <v>756</v>
      </c>
      <c r="AQ183" s="23">
        <f t="shared" si="55"/>
        <v>0</v>
      </c>
      <c r="AR183" s="23"/>
      <c r="AS183" s="23"/>
      <c r="AT183" s="23">
        <f t="shared" si="55"/>
        <v>0</v>
      </c>
      <c r="AU183" s="23">
        <f t="shared" si="55"/>
        <v>9</v>
      </c>
      <c r="AV183" s="23">
        <f t="shared" si="55"/>
        <v>966</v>
      </c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 spans="1:72" s="11" customFormat="1" ht="28" x14ac:dyDescent="0.15">
      <c r="A184" s="45">
        <v>13</v>
      </c>
      <c r="B184" s="42" t="s">
        <v>32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1</v>
      </c>
      <c r="AN184" s="29" t="s">
        <v>65</v>
      </c>
      <c r="AO184" s="9" t="s">
        <v>60</v>
      </c>
      <c r="AP184" s="9">
        <v>210</v>
      </c>
      <c r="AQ184" s="17">
        <v>0</v>
      </c>
      <c r="AR184" s="9">
        <v>0</v>
      </c>
      <c r="AS184" s="9">
        <v>0</v>
      </c>
      <c r="AT184" s="17">
        <v>0</v>
      </c>
      <c r="AU184" s="9">
        <f>SUM(C184+G184+K184+O184+S184+W184+AA184+AE184+AI184+AM184+AQ184)</f>
        <v>1</v>
      </c>
      <c r="AV184" s="9">
        <f>SUM(F184+J184+N184+R184+V184+Z184+AD184+AH184+AL184+AP184+AT184)</f>
        <v>210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spans="1:72" s="11" customFormat="1" ht="28" x14ac:dyDescent="0.15">
      <c r="A185" s="46"/>
      <c r="B185" s="43"/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1</v>
      </c>
      <c r="AN185" s="29" t="s">
        <v>75</v>
      </c>
      <c r="AO185" s="9" t="s">
        <v>60</v>
      </c>
      <c r="AP185" s="9">
        <v>210</v>
      </c>
      <c r="AQ185" s="17">
        <v>0</v>
      </c>
      <c r="AR185" s="9">
        <v>0</v>
      </c>
      <c r="AS185" s="9">
        <v>0</v>
      </c>
      <c r="AT185" s="17">
        <v>0</v>
      </c>
      <c r="AU185" s="9">
        <f t="shared" ref="AU185:AU194" si="56">SUM(C185+G185+K185+O185+S185+W185+AA185+AE185+AI185+AM185+AQ185)</f>
        <v>1</v>
      </c>
      <c r="AV185" s="9">
        <f t="shared" ref="AV185:AV194" si="57">SUM(F185+J185+N185+R185+V185+Z185+AD185+AH185+AL185+AP185+AT185)</f>
        <v>210</v>
      </c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spans="1:72" s="11" customFormat="1" ht="34.5" customHeight="1" x14ac:dyDescent="0.15">
      <c r="A186" s="46"/>
      <c r="B186" s="43"/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2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17">
        <v>0</v>
      </c>
      <c r="AR186" s="9">
        <v>0</v>
      </c>
      <c r="AS186" s="9">
        <v>0</v>
      </c>
      <c r="AT186" s="17">
        <v>0</v>
      </c>
      <c r="AU186" s="9">
        <f t="shared" si="56"/>
        <v>0</v>
      </c>
      <c r="AV186" s="9">
        <f t="shared" si="57"/>
        <v>0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spans="1:72" s="11" customFormat="1" ht="28" x14ac:dyDescent="0.15">
      <c r="A187" s="46"/>
      <c r="B187" s="43"/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1</v>
      </c>
      <c r="T187" s="29" t="s">
        <v>122</v>
      </c>
      <c r="U187" s="9" t="s">
        <v>77</v>
      </c>
      <c r="V187" s="9">
        <v>74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17">
        <v>0</v>
      </c>
      <c r="AR187" s="9">
        <v>0</v>
      </c>
      <c r="AS187" s="9">
        <v>0</v>
      </c>
      <c r="AT187" s="17">
        <v>0</v>
      </c>
      <c r="AU187" s="9">
        <f t="shared" si="56"/>
        <v>1</v>
      </c>
      <c r="AV187" s="9">
        <f t="shared" si="57"/>
        <v>74</v>
      </c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spans="1:72" s="11" customFormat="1" ht="13" x14ac:dyDescent="0.15">
      <c r="A188" s="46"/>
      <c r="B188" s="43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29"/>
      <c r="AO188" s="9"/>
      <c r="AP188" s="9"/>
      <c r="AQ188" s="17">
        <v>0</v>
      </c>
      <c r="AR188" s="9">
        <v>0</v>
      </c>
      <c r="AS188" s="9">
        <v>0</v>
      </c>
      <c r="AT188" s="17">
        <v>0</v>
      </c>
      <c r="AU188" s="9">
        <f t="shared" si="56"/>
        <v>0</v>
      </c>
      <c r="AV188" s="9">
        <f t="shared" si="57"/>
        <v>0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spans="1:72" s="11" customFormat="1" ht="13" x14ac:dyDescent="0.15">
      <c r="A189" s="46"/>
      <c r="B189" s="43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29"/>
      <c r="AO189" s="9"/>
      <c r="AP189" s="9"/>
      <c r="AQ189" s="17"/>
      <c r="AR189" s="9"/>
      <c r="AS189" s="9"/>
      <c r="AT189" s="17"/>
      <c r="AU189" s="9"/>
      <c r="AV189" s="9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spans="1:72" s="11" customFormat="1" ht="13" x14ac:dyDescent="0.15">
      <c r="A190" s="46"/>
      <c r="B190" s="43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29"/>
      <c r="AO190" s="9"/>
      <c r="AP190" s="9"/>
      <c r="AQ190" s="17"/>
      <c r="AR190" s="9"/>
      <c r="AS190" s="9"/>
      <c r="AT190" s="17"/>
      <c r="AU190" s="9"/>
      <c r="AV190" s="9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spans="1:72" s="11" customFormat="1" ht="13" x14ac:dyDescent="0.15">
      <c r="A191" s="46"/>
      <c r="B191" s="43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29"/>
      <c r="AO191" s="9"/>
      <c r="AP191" s="9"/>
      <c r="AQ191" s="17">
        <v>0</v>
      </c>
      <c r="AR191" s="9">
        <v>0</v>
      </c>
      <c r="AS191" s="9">
        <v>0</v>
      </c>
      <c r="AT191" s="17">
        <v>0</v>
      </c>
      <c r="AU191" s="9">
        <f t="shared" si="56"/>
        <v>0</v>
      </c>
      <c r="AV191" s="9">
        <f t="shared" si="57"/>
        <v>0</v>
      </c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spans="1:72" s="11" customFormat="1" ht="13" x14ac:dyDescent="0.15">
      <c r="A192" s="46"/>
      <c r="B192" s="43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29"/>
      <c r="AO192" s="9"/>
      <c r="AP192" s="9"/>
      <c r="AQ192" s="17">
        <v>0</v>
      </c>
      <c r="AR192" s="9">
        <v>0</v>
      </c>
      <c r="AS192" s="9">
        <v>0</v>
      </c>
      <c r="AT192" s="17">
        <v>0</v>
      </c>
      <c r="AU192" s="9">
        <f t="shared" si="56"/>
        <v>0</v>
      </c>
      <c r="AV192" s="9">
        <f t="shared" si="57"/>
        <v>0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spans="1:72" s="11" customFormat="1" ht="13" x14ac:dyDescent="0.15">
      <c r="A193" s="46"/>
      <c r="B193" s="43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17">
        <v>0</v>
      </c>
      <c r="AR193" s="9">
        <v>0</v>
      </c>
      <c r="AS193" s="9">
        <v>0</v>
      </c>
      <c r="AT193" s="17">
        <v>0</v>
      </c>
      <c r="AU193" s="9">
        <f t="shared" si="56"/>
        <v>0</v>
      </c>
      <c r="AV193" s="9">
        <f t="shared" si="57"/>
        <v>0</v>
      </c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spans="1:72" s="11" customFormat="1" ht="13" x14ac:dyDescent="0.15">
      <c r="A194" s="46"/>
      <c r="B194" s="44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17">
        <v>0</v>
      </c>
      <c r="AR194" s="9">
        <v>0</v>
      </c>
      <c r="AS194" s="9">
        <v>0</v>
      </c>
      <c r="AT194" s="17">
        <v>0</v>
      </c>
      <c r="AU194" s="9">
        <f t="shared" si="56"/>
        <v>0</v>
      </c>
      <c r="AV194" s="9">
        <f t="shared" si="57"/>
        <v>0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spans="1:72" s="24" customFormat="1" ht="13" x14ac:dyDescent="0.15">
      <c r="A195" s="47"/>
      <c r="B195" s="22" t="s">
        <v>18</v>
      </c>
      <c r="C195" s="23">
        <f>SUM(C184:C194)</f>
        <v>0</v>
      </c>
      <c r="D195" s="23"/>
      <c r="E195" s="23"/>
      <c r="F195" s="23">
        <f t="shared" ref="F195:AV195" si="58">SUM(F184:F194)</f>
        <v>0</v>
      </c>
      <c r="G195" s="23">
        <f t="shared" si="58"/>
        <v>0</v>
      </c>
      <c r="H195" s="23"/>
      <c r="I195" s="23"/>
      <c r="J195" s="23">
        <f t="shared" si="58"/>
        <v>0</v>
      </c>
      <c r="K195" s="23">
        <f t="shared" si="58"/>
        <v>0</v>
      </c>
      <c r="L195" s="23"/>
      <c r="M195" s="23"/>
      <c r="N195" s="23">
        <f t="shared" si="58"/>
        <v>0</v>
      </c>
      <c r="O195" s="23">
        <f t="shared" si="58"/>
        <v>0</v>
      </c>
      <c r="P195" s="23"/>
      <c r="Q195" s="23"/>
      <c r="R195" s="23">
        <f t="shared" si="58"/>
        <v>0</v>
      </c>
      <c r="S195" s="23">
        <f t="shared" si="58"/>
        <v>1</v>
      </c>
      <c r="T195" s="23"/>
      <c r="U195" s="23"/>
      <c r="V195" s="23">
        <f t="shared" si="58"/>
        <v>74</v>
      </c>
      <c r="W195" s="23">
        <f t="shared" si="58"/>
        <v>0</v>
      </c>
      <c r="X195" s="23"/>
      <c r="Y195" s="23"/>
      <c r="Z195" s="23">
        <f t="shared" si="58"/>
        <v>0</v>
      </c>
      <c r="AA195" s="23">
        <f t="shared" si="58"/>
        <v>0</v>
      </c>
      <c r="AB195" s="23"/>
      <c r="AC195" s="23"/>
      <c r="AD195" s="23">
        <f t="shared" si="58"/>
        <v>0</v>
      </c>
      <c r="AE195" s="23">
        <f t="shared" si="58"/>
        <v>0</v>
      </c>
      <c r="AF195" s="23"/>
      <c r="AG195" s="23"/>
      <c r="AH195" s="23">
        <f t="shared" si="58"/>
        <v>0</v>
      </c>
      <c r="AI195" s="23">
        <f t="shared" si="58"/>
        <v>0</v>
      </c>
      <c r="AJ195" s="23"/>
      <c r="AK195" s="23"/>
      <c r="AL195" s="23">
        <f t="shared" si="58"/>
        <v>0</v>
      </c>
      <c r="AM195" s="23">
        <f t="shared" si="58"/>
        <v>2</v>
      </c>
      <c r="AN195" s="23"/>
      <c r="AO195" s="23"/>
      <c r="AP195" s="23">
        <f t="shared" si="58"/>
        <v>420</v>
      </c>
      <c r="AQ195" s="23">
        <f t="shared" si="58"/>
        <v>0</v>
      </c>
      <c r="AR195" s="23"/>
      <c r="AS195" s="23"/>
      <c r="AT195" s="23">
        <f t="shared" si="58"/>
        <v>0</v>
      </c>
      <c r="AU195" s="23">
        <f t="shared" si="58"/>
        <v>3</v>
      </c>
      <c r="AV195" s="23">
        <f t="shared" si="58"/>
        <v>494</v>
      </c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</row>
    <row r="196" spans="1:72" s="11" customFormat="1" ht="28" x14ac:dyDescent="0.15">
      <c r="A196" s="45">
        <v>14</v>
      </c>
      <c r="B196" s="42" t="s">
        <v>33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1</v>
      </c>
      <c r="AN196" s="29" t="s">
        <v>75</v>
      </c>
      <c r="AO196" s="9" t="s">
        <v>60</v>
      </c>
      <c r="AP196" s="9">
        <v>210</v>
      </c>
      <c r="AQ196" s="17">
        <v>0</v>
      </c>
      <c r="AR196" s="9">
        <v>0</v>
      </c>
      <c r="AS196" s="9">
        <v>0</v>
      </c>
      <c r="AT196" s="17">
        <v>0</v>
      </c>
      <c r="AU196" s="9">
        <f>SUM(C196+G196+K196+O196+S196+W196+AA196+AE196+AI196+AM196+AQ196)</f>
        <v>1</v>
      </c>
      <c r="AV196" s="9">
        <f>SUM(F196+J196+N196+R196+V196+Z196+AD196+AH196+AL196+AP196+AT196)</f>
        <v>210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spans="1:72" s="11" customFormat="1" ht="28" x14ac:dyDescent="0.15">
      <c r="A197" s="46"/>
      <c r="B197" s="43"/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1</v>
      </c>
      <c r="AN197" s="29" t="s">
        <v>84</v>
      </c>
      <c r="AO197" s="9" t="s">
        <v>60</v>
      </c>
      <c r="AP197" s="9">
        <v>210</v>
      </c>
      <c r="AQ197" s="17">
        <v>0</v>
      </c>
      <c r="AR197" s="9">
        <v>0</v>
      </c>
      <c r="AS197" s="9">
        <v>0</v>
      </c>
      <c r="AT197" s="17">
        <v>0</v>
      </c>
      <c r="AU197" s="9">
        <f t="shared" ref="AU197:AU208" si="59">SUM(C197+G197+K197+O197+S197+W197+AA197+AE197+AI197+AM197+AQ197)</f>
        <v>1</v>
      </c>
      <c r="AV197" s="9">
        <f t="shared" ref="AV197:AV208" si="60">SUM(F197+J197+N197+R197+V197+Z197+AD197+AH197+AL197+AP197+AT197)</f>
        <v>210</v>
      </c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spans="1:72" s="11" customFormat="1" ht="28" x14ac:dyDescent="0.15">
      <c r="A198" s="46"/>
      <c r="B198" s="43"/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1</v>
      </c>
      <c r="AN198" s="29" t="s">
        <v>115</v>
      </c>
      <c r="AO198" s="9" t="s">
        <v>81</v>
      </c>
      <c r="AP198" s="9">
        <v>160</v>
      </c>
      <c r="AQ198" s="17">
        <v>0</v>
      </c>
      <c r="AR198" s="9">
        <v>0</v>
      </c>
      <c r="AS198" s="9">
        <v>0</v>
      </c>
      <c r="AT198" s="17">
        <v>0</v>
      </c>
      <c r="AU198" s="9">
        <f t="shared" si="59"/>
        <v>1</v>
      </c>
      <c r="AV198" s="9">
        <f t="shared" si="60"/>
        <v>160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spans="1:72" s="11" customFormat="1" ht="28" x14ac:dyDescent="0.15">
      <c r="A199" s="46"/>
      <c r="B199" s="43"/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1</v>
      </c>
      <c r="L199" s="29" t="s">
        <v>85</v>
      </c>
      <c r="M199" s="9" t="s">
        <v>86</v>
      </c>
      <c r="N199" s="9">
        <v>270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17">
        <v>0</v>
      </c>
      <c r="AR199" s="9">
        <v>0</v>
      </c>
      <c r="AS199" s="9">
        <v>0</v>
      </c>
      <c r="AT199" s="17">
        <v>0</v>
      </c>
      <c r="AU199" s="9">
        <f t="shared" si="59"/>
        <v>1</v>
      </c>
      <c r="AV199" s="9">
        <f t="shared" si="60"/>
        <v>270</v>
      </c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  <row r="200" spans="1:72" s="11" customFormat="1" ht="28" x14ac:dyDescent="0.15">
      <c r="A200" s="46"/>
      <c r="B200" s="43"/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1</v>
      </c>
      <c r="T200" s="29" t="s">
        <v>127</v>
      </c>
      <c r="U200" s="9" t="s">
        <v>128</v>
      </c>
      <c r="V200" s="9">
        <v>40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17">
        <v>0</v>
      </c>
      <c r="AR200" s="9">
        <v>0</v>
      </c>
      <c r="AS200" s="9">
        <v>0</v>
      </c>
      <c r="AT200" s="17">
        <v>0</v>
      </c>
      <c r="AU200" s="9">
        <f t="shared" si="59"/>
        <v>1</v>
      </c>
      <c r="AV200" s="9">
        <f t="shared" si="60"/>
        <v>40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</row>
    <row r="201" spans="1:72" s="11" customFormat="1" ht="28" x14ac:dyDescent="0.15">
      <c r="A201" s="46"/>
      <c r="B201" s="43"/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1</v>
      </c>
      <c r="T201" s="29" t="s">
        <v>130</v>
      </c>
      <c r="U201" s="9" t="s">
        <v>128</v>
      </c>
      <c r="V201" s="9">
        <v>40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17">
        <v>0</v>
      </c>
      <c r="AR201" s="9">
        <v>0</v>
      </c>
      <c r="AS201" s="9">
        <v>0</v>
      </c>
      <c r="AT201" s="17">
        <v>0</v>
      </c>
      <c r="AU201" s="9">
        <f t="shared" si="59"/>
        <v>1</v>
      </c>
      <c r="AV201" s="9">
        <f t="shared" si="60"/>
        <v>40</v>
      </c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</row>
    <row r="202" spans="1:72" s="11" customFormat="1" ht="13" x14ac:dyDescent="0.15">
      <c r="A202" s="46"/>
      <c r="B202" s="43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7"/>
      <c r="AR202" s="9"/>
      <c r="AS202" s="9"/>
      <c r="AT202" s="17"/>
      <c r="AU202" s="9"/>
      <c r="AV202" s="9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</row>
    <row r="203" spans="1:72" s="11" customFormat="1" ht="13" x14ac:dyDescent="0.15">
      <c r="A203" s="46"/>
      <c r="B203" s="43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7"/>
      <c r="AR203" s="9"/>
      <c r="AS203" s="9"/>
      <c r="AT203" s="17"/>
      <c r="AU203" s="9"/>
      <c r="AV203" s="9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</row>
    <row r="204" spans="1:72" s="11" customFormat="1" ht="13" x14ac:dyDescent="0.15">
      <c r="A204" s="46"/>
      <c r="B204" s="43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7"/>
      <c r="AR204" s="9"/>
      <c r="AS204" s="9"/>
      <c r="AT204" s="17"/>
      <c r="AU204" s="9"/>
      <c r="AV204" s="9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</row>
    <row r="205" spans="1:72" s="11" customFormat="1" ht="13" x14ac:dyDescent="0.15">
      <c r="A205" s="46"/>
      <c r="B205" s="43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7">
        <v>0</v>
      </c>
      <c r="AR205" s="9">
        <v>0</v>
      </c>
      <c r="AS205" s="9">
        <v>0</v>
      </c>
      <c r="AT205" s="17">
        <v>0</v>
      </c>
      <c r="AU205" s="9">
        <f t="shared" si="59"/>
        <v>0</v>
      </c>
      <c r="AV205" s="9">
        <f t="shared" si="60"/>
        <v>0</v>
      </c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</row>
    <row r="206" spans="1:72" s="11" customFormat="1" ht="13" x14ac:dyDescent="0.15">
      <c r="A206" s="46"/>
      <c r="B206" s="43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7">
        <v>0</v>
      </c>
      <c r="AR206" s="9">
        <v>0</v>
      </c>
      <c r="AS206" s="9">
        <v>0</v>
      </c>
      <c r="AT206" s="17">
        <v>0</v>
      </c>
      <c r="AU206" s="9">
        <f t="shared" si="59"/>
        <v>0</v>
      </c>
      <c r="AV206" s="9">
        <f t="shared" si="60"/>
        <v>0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</row>
    <row r="207" spans="1:72" s="11" customFormat="1" ht="13" x14ac:dyDescent="0.15">
      <c r="A207" s="46"/>
      <c r="B207" s="43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7">
        <v>0</v>
      </c>
      <c r="AR207" s="9">
        <v>0</v>
      </c>
      <c r="AS207" s="9">
        <v>0</v>
      </c>
      <c r="AT207" s="17">
        <v>0</v>
      </c>
      <c r="AU207" s="9">
        <f t="shared" si="59"/>
        <v>0</v>
      </c>
      <c r="AV207" s="9">
        <f t="shared" si="60"/>
        <v>0</v>
      </c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</row>
    <row r="208" spans="1:72" s="11" customFormat="1" ht="13" x14ac:dyDescent="0.15">
      <c r="A208" s="46"/>
      <c r="B208" s="44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7">
        <v>0</v>
      </c>
      <c r="AR208" s="9">
        <v>0</v>
      </c>
      <c r="AS208" s="9">
        <v>0</v>
      </c>
      <c r="AT208" s="17">
        <v>0</v>
      </c>
      <c r="AU208" s="9">
        <f t="shared" si="59"/>
        <v>0</v>
      </c>
      <c r="AV208" s="9">
        <f t="shared" si="60"/>
        <v>0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</row>
    <row r="209" spans="1:72" s="21" customFormat="1" ht="13" x14ac:dyDescent="0.15">
      <c r="A209" s="47"/>
      <c r="B209" s="22" t="s">
        <v>18</v>
      </c>
      <c r="C209" s="23">
        <f>SUM(C196:C208)</f>
        <v>0</v>
      </c>
      <c r="D209" s="23"/>
      <c r="E209" s="23"/>
      <c r="F209" s="23">
        <f t="shared" ref="F209:AT209" si="61">SUM(F196:F208)</f>
        <v>0</v>
      </c>
      <c r="G209" s="23">
        <f t="shared" si="61"/>
        <v>0</v>
      </c>
      <c r="H209" s="23"/>
      <c r="I209" s="23"/>
      <c r="J209" s="23">
        <f t="shared" si="61"/>
        <v>0</v>
      </c>
      <c r="K209" s="23">
        <f t="shared" si="61"/>
        <v>1</v>
      </c>
      <c r="L209" s="23"/>
      <c r="M209" s="23"/>
      <c r="N209" s="23">
        <f t="shared" si="61"/>
        <v>270</v>
      </c>
      <c r="O209" s="23">
        <f t="shared" si="61"/>
        <v>0</v>
      </c>
      <c r="P209" s="23"/>
      <c r="Q209" s="23"/>
      <c r="R209" s="23">
        <f t="shared" si="61"/>
        <v>0</v>
      </c>
      <c r="S209" s="23">
        <f t="shared" si="61"/>
        <v>2</v>
      </c>
      <c r="T209" s="23"/>
      <c r="U209" s="23"/>
      <c r="V209" s="23">
        <f t="shared" si="61"/>
        <v>80</v>
      </c>
      <c r="W209" s="23">
        <f t="shared" si="61"/>
        <v>0</v>
      </c>
      <c r="X209" s="23"/>
      <c r="Y209" s="23"/>
      <c r="Z209" s="23">
        <f t="shared" si="61"/>
        <v>0</v>
      </c>
      <c r="AA209" s="23">
        <f t="shared" si="61"/>
        <v>0</v>
      </c>
      <c r="AB209" s="23"/>
      <c r="AC209" s="23"/>
      <c r="AD209" s="23">
        <f t="shared" si="61"/>
        <v>0</v>
      </c>
      <c r="AE209" s="23">
        <f t="shared" si="61"/>
        <v>0</v>
      </c>
      <c r="AF209" s="23"/>
      <c r="AG209" s="23"/>
      <c r="AH209" s="23">
        <f t="shared" si="61"/>
        <v>0</v>
      </c>
      <c r="AI209" s="23">
        <f t="shared" si="61"/>
        <v>0</v>
      </c>
      <c r="AJ209" s="23"/>
      <c r="AK209" s="23"/>
      <c r="AL209" s="23">
        <f t="shared" si="61"/>
        <v>0</v>
      </c>
      <c r="AM209" s="23">
        <f t="shared" si="61"/>
        <v>3</v>
      </c>
      <c r="AN209" s="23"/>
      <c r="AO209" s="23"/>
      <c r="AP209" s="23">
        <f t="shared" si="61"/>
        <v>580</v>
      </c>
      <c r="AQ209" s="23">
        <f t="shared" si="61"/>
        <v>0</v>
      </c>
      <c r="AR209" s="23"/>
      <c r="AS209" s="23"/>
      <c r="AT209" s="23">
        <f t="shared" si="61"/>
        <v>0</v>
      </c>
      <c r="AU209" s="23">
        <f>SUM(AU196:AU208)</f>
        <v>6</v>
      </c>
      <c r="AV209" s="23">
        <f>SUM(AV196:AV208)</f>
        <v>930</v>
      </c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 spans="1:72" s="11" customFormat="1" ht="28" x14ac:dyDescent="0.15">
      <c r="A210" s="45">
        <v>15</v>
      </c>
      <c r="B210" s="42" t="s">
        <v>34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1</v>
      </c>
      <c r="AN210" s="29" t="s">
        <v>65</v>
      </c>
      <c r="AO210" s="9" t="s">
        <v>60</v>
      </c>
      <c r="AP210" s="9">
        <v>210</v>
      </c>
      <c r="AQ210" s="17">
        <v>0</v>
      </c>
      <c r="AR210" s="9">
        <v>0</v>
      </c>
      <c r="AS210" s="9">
        <v>0</v>
      </c>
      <c r="AT210" s="17">
        <v>0</v>
      </c>
      <c r="AU210" s="9">
        <f>SUM(C210+G210+K210+O210+S210+W210+AA210+AE210+AI210+AM210+AQ210)</f>
        <v>1</v>
      </c>
      <c r="AV210" s="9">
        <f>SUM(F210+J210+N210+R210+V210+Z210+AD210+AH210+AL210+AP210+AT210)</f>
        <v>210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</row>
    <row r="211" spans="1:72" s="11" customFormat="1" ht="28" x14ac:dyDescent="0.15">
      <c r="A211" s="46"/>
      <c r="B211" s="43"/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1</v>
      </c>
      <c r="AN211" s="29" t="s">
        <v>68</v>
      </c>
      <c r="AO211" s="9" t="s">
        <v>60</v>
      </c>
      <c r="AP211" s="9">
        <v>210</v>
      </c>
      <c r="AQ211" s="17">
        <v>0</v>
      </c>
      <c r="AR211" s="9">
        <v>0</v>
      </c>
      <c r="AS211" s="9">
        <v>0</v>
      </c>
      <c r="AT211" s="17">
        <v>0</v>
      </c>
      <c r="AU211" s="9">
        <f t="shared" ref="AU211:AU222" si="62">SUM(C211+G211+K211+O211+S211+W211+AA211+AE211+AI211+AM211+AQ211)</f>
        <v>1</v>
      </c>
      <c r="AV211" s="9">
        <f t="shared" ref="AV211:AV222" si="63">SUM(F211+J211+N211+R211+V211+Z211+AD211+AH211+AL211+AP211+AT211)</f>
        <v>210</v>
      </c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</row>
    <row r="212" spans="1:72" s="11" customFormat="1" ht="28" x14ac:dyDescent="0.15">
      <c r="A212" s="46"/>
      <c r="B212" s="43"/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1</v>
      </c>
      <c r="T212" s="29" t="s">
        <v>78</v>
      </c>
      <c r="U212" s="9" t="s">
        <v>77</v>
      </c>
      <c r="V212" s="9">
        <v>74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29">
        <v>0</v>
      </c>
      <c r="AO212" s="9">
        <v>0</v>
      </c>
      <c r="AP212" s="9">
        <v>0</v>
      </c>
      <c r="AQ212" s="17">
        <v>0</v>
      </c>
      <c r="AR212" s="9">
        <v>0</v>
      </c>
      <c r="AS212" s="9">
        <v>0</v>
      </c>
      <c r="AT212" s="17">
        <v>0</v>
      </c>
      <c r="AU212" s="9">
        <f t="shared" si="62"/>
        <v>1</v>
      </c>
      <c r="AV212" s="9">
        <f t="shared" si="63"/>
        <v>74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</row>
    <row r="213" spans="1:72" s="11" customFormat="1" ht="28" x14ac:dyDescent="0.15">
      <c r="A213" s="46"/>
      <c r="B213" s="43"/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1</v>
      </c>
      <c r="X213" s="29" t="s">
        <v>91</v>
      </c>
      <c r="Y213" s="9" t="s">
        <v>92</v>
      </c>
      <c r="Z213" s="9">
        <v>106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17">
        <v>0</v>
      </c>
      <c r="AR213" s="9">
        <v>0</v>
      </c>
      <c r="AS213" s="9">
        <v>0</v>
      </c>
      <c r="AT213" s="17">
        <v>0</v>
      </c>
      <c r="AU213" s="9">
        <f t="shared" si="62"/>
        <v>1</v>
      </c>
      <c r="AV213" s="9">
        <f t="shared" si="63"/>
        <v>106</v>
      </c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 spans="1:72" s="11" customFormat="1" ht="28" x14ac:dyDescent="0.15">
      <c r="A214" s="46"/>
      <c r="B214" s="43"/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1</v>
      </c>
      <c r="T214" s="29" t="s">
        <v>100</v>
      </c>
      <c r="U214" s="29" t="s">
        <v>101</v>
      </c>
      <c r="V214" s="9">
        <v>90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17">
        <v>0</v>
      </c>
      <c r="AR214" s="9">
        <v>0</v>
      </c>
      <c r="AS214" s="9">
        <v>0</v>
      </c>
      <c r="AT214" s="17">
        <v>0</v>
      </c>
      <c r="AU214" s="9">
        <f t="shared" si="62"/>
        <v>1</v>
      </c>
      <c r="AV214" s="9">
        <f t="shared" si="63"/>
        <v>90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</row>
    <row r="215" spans="1:72" s="11" customFormat="1" ht="28" x14ac:dyDescent="0.15">
      <c r="A215" s="46"/>
      <c r="B215" s="43"/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1</v>
      </c>
      <c r="T215" s="29" t="s">
        <v>127</v>
      </c>
      <c r="U215" s="9" t="s">
        <v>93</v>
      </c>
      <c r="V215" s="9">
        <v>54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17">
        <v>0</v>
      </c>
      <c r="AR215" s="9">
        <v>0</v>
      </c>
      <c r="AS215" s="9">
        <v>0</v>
      </c>
      <c r="AT215" s="17">
        <v>0</v>
      </c>
      <c r="AU215" s="9">
        <f t="shared" si="62"/>
        <v>1</v>
      </c>
      <c r="AV215" s="9">
        <f t="shared" si="63"/>
        <v>54</v>
      </c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</row>
    <row r="216" spans="1:72" s="11" customFormat="1" ht="13" x14ac:dyDescent="0.15">
      <c r="A216" s="46"/>
      <c r="B216" s="43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29"/>
      <c r="AO216" s="9"/>
      <c r="AP216" s="9"/>
      <c r="AQ216" s="17"/>
      <c r="AR216" s="9"/>
      <c r="AS216" s="9"/>
      <c r="AT216" s="17"/>
      <c r="AU216" s="9"/>
      <c r="AV216" s="9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</row>
    <row r="217" spans="1:72" s="11" customFormat="1" ht="13" x14ac:dyDescent="0.15">
      <c r="A217" s="46"/>
      <c r="B217" s="43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29"/>
      <c r="AO217" s="9"/>
      <c r="AP217" s="9"/>
      <c r="AQ217" s="17"/>
      <c r="AR217" s="9"/>
      <c r="AS217" s="9"/>
      <c r="AT217" s="17"/>
      <c r="AU217" s="9"/>
      <c r="AV217" s="9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</row>
    <row r="218" spans="1:72" s="11" customFormat="1" ht="13" x14ac:dyDescent="0.15">
      <c r="A218" s="46"/>
      <c r="B218" s="43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29"/>
      <c r="AO218" s="9"/>
      <c r="AP218" s="9"/>
      <c r="AQ218" s="17"/>
      <c r="AR218" s="9"/>
      <c r="AS218" s="9"/>
      <c r="AT218" s="17"/>
      <c r="AU218" s="9"/>
      <c r="AV218" s="9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</row>
    <row r="219" spans="1:72" s="11" customFormat="1" ht="13" x14ac:dyDescent="0.15">
      <c r="A219" s="46"/>
      <c r="B219" s="43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29"/>
      <c r="AO219" s="9"/>
      <c r="AP219" s="9"/>
      <c r="AQ219" s="17">
        <v>0</v>
      </c>
      <c r="AR219" s="9">
        <v>0</v>
      </c>
      <c r="AS219" s="9">
        <v>0</v>
      </c>
      <c r="AT219" s="17">
        <v>0</v>
      </c>
      <c r="AU219" s="9">
        <f t="shared" si="62"/>
        <v>0</v>
      </c>
      <c r="AV219" s="9">
        <f t="shared" si="63"/>
        <v>0</v>
      </c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</row>
    <row r="220" spans="1:72" s="11" customFormat="1" ht="13" x14ac:dyDescent="0.15">
      <c r="A220" s="46"/>
      <c r="B220" s="4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29"/>
      <c r="AO220" s="9"/>
      <c r="AP220" s="9"/>
      <c r="AQ220" s="17">
        <v>0</v>
      </c>
      <c r="AR220" s="9">
        <v>0</v>
      </c>
      <c r="AS220" s="9">
        <v>0</v>
      </c>
      <c r="AT220" s="17">
        <v>0</v>
      </c>
      <c r="AU220" s="9">
        <f t="shared" si="62"/>
        <v>0</v>
      </c>
      <c r="AV220" s="9">
        <f t="shared" si="63"/>
        <v>0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</row>
    <row r="221" spans="1:72" s="11" customFormat="1" ht="13" x14ac:dyDescent="0.15">
      <c r="A221" s="46"/>
      <c r="B221" s="43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29"/>
      <c r="AO221" s="9"/>
      <c r="AP221" s="9"/>
      <c r="AQ221" s="17">
        <v>0</v>
      </c>
      <c r="AR221" s="9">
        <v>0</v>
      </c>
      <c r="AS221" s="9">
        <v>0</v>
      </c>
      <c r="AT221" s="17">
        <v>0</v>
      </c>
      <c r="AU221" s="9">
        <f t="shared" si="62"/>
        <v>0</v>
      </c>
      <c r="AV221" s="9">
        <f t="shared" si="63"/>
        <v>0</v>
      </c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</row>
    <row r="222" spans="1:72" s="11" customFormat="1" ht="13" x14ac:dyDescent="0.15">
      <c r="A222" s="46"/>
      <c r="B222" s="44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17">
        <v>0</v>
      </c>
      <c r="AR222" s="9">
        <v>0</v>
      </c>
      <c r="AS222" s="9">
        <v>0</v>
      </c>
      <c r="AT222" s="17">
        <v>0</v>
      </c>
      <c r="AU222" s="9">
        <f t="shared" si="62"/>
        <v>0</v>
      </c>
      <c r="AV222" s="9">
        <f t="shared" si="63"/>
        <v>0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</row>
    <row r="223" spans="1:72" s="21" customFormat="1" ht="13" x14ac:dyDescent="0.15">
      <c r="A223" s="47"/>
      <c r="B223" s="22" t="s">
        <v>18</v>
      </c>
      <c r="C223" s="23">
        <f>SUM(C210:C222)</f>
        <v>0</v>
      </c>
      <c r="D223" s="23"/>
      <c r="E223" s="23"/>
      <c r="F223" s="23">
        <f t="shared" ref="F223:AT223" si="64">SUM(F210:F222)</f>
        <v>0</v>
      </c>
      <c r="G223" s="23">
        <f t="shared" si="64"/>
        <v>0</v>
      </c>
      <c r="H223" s="23"/>
      <c r="I223" s="23"/>
      <c r="J223" s="23">
        <f t="shared" si="64"/>
        <v>0</v>
      </c>
      <c r="K223" s="23">
        <f t="shared" si="64"/>
        <v>0</v>
      </c>
      <c r="L223" s="23"/>
      <c r="M223" s="23"/>
      <c r="N223" s="23">
        <f t="shared" si="64"/>
        <v>0</v>
      </c>
      <c r="O223" s="23">
        <f t="shared" si="64"/>
        <v>0</v>
      </c>
      <c r="P223" s="23"/>
      <c r="Q223" s="23"/>
      <c r="R223" s="23">
        <f t="shared" si="64"/>
        <v>0</v>
      </c>
      <c r="S223" s="23">
        <f t="shared" si="64"/>
        <v>3</v>
      </c>
      <c r="T223" s="23"/>
      <c r="U223" s="23"/>
      <c r="V223" s="23">
        <f t="shared" si="64"/>
        <v>218</v>
      </c>
      <c r="W223" s="23">
        <f t="shared" si="64"/>
        <v>1</v>
      </c>
      <c r="X223" s="23"/>
      <c r="Y223" s="23"/>
      <c r="Z223" s="23">
        <f t="shared" si="64"/>
        <v>106</v>
      </c>
      <c r="AA223" s="23">
        <f t="shared" si="64"/>
        <v>0</v>
      </c>
      <c r="AB223" s="23"/>
      <c r="AC223" s="23"/>
      <c r="AD223" s="23">
        <f t="shared" si="64"/>
        <v>0</v>
      </c>
      <c r="AE223" s="23">
        <f t="shared" si="64"/>
        <v>0</v>
      </c>
      <c r="AF223" s="23"/>
      <c r="AG223" s="23"/>
      <c r="AH223" s="23">
        <f t="shared" si="64"/>
        <v>0</v>
      </c>
      <c r="AI223" s="23">
        <f t="shared" si="64"/>
        <v>0</v>
      </c>
      <c r="AJ223" s="23"/>
      <c r="AK223" s="23"/>
      <c r="AL223" s="23">
        <f t="shared" si="64"/>
        <v>0</v>
      </c>
      <c r="AM223" s="23">
        <f t="shared" si="64"/>
        <v>2</v>
      </c>
      <c r="AN223" s="23"/>
      <c r="AO223" s="23"/>
      <c r="AP223" s="23">
        <f t="shared" si="64"/>
        <v>420</v>
      </c>
      <c r="AQ223" s="23">
        <f t="shared" si="64"/>
        <v>0</v>
      </c>
      <c r="AR223" s="23"/>
      <c r="AS223" s="23"/>
      <c r="AT223" s="23">
        <f t="shared" si="64"/>
        <v>0</v>
      </c>
      <c r="AU223" s="23">
        <f>SUM(AU210:AU222)</f>
        <v>6</v>
      </c>
      <c r="AV223" s="23">
        <f>SUM(AV210:AV222)</f>
        <v>744</v>
      </c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72" s="11" customFormat="1" ht="24.75" customHeight="1" x14ac:dyDescent="0.15">
      <c r="A224" s="45">
        <v>16</v>
      </c>
      <c r="B224" s="42" t="s">
        <v>35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1</v>
      </c>
      <c r="X224" s="29" t="s">
        <v>63</v>
      </c>
      <c r="Y224" s="9" t="s">
        <v>62</v>
      </c>
      <c r="Z224" s="9">
        <v>80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17">
        <v>0</v>
      </c>
      <c r="AR224" s="9">
        <v>0</v>
      </c>
      <c r="AS224" s="9">
        <v>0</v>
      </c>
      <c r="AT224" s="17">
        <v>0</v>
      </c>
      <c r="AU224" s="9">
        <f>SUM(C224+G224+K224+O224+S224+W224+AA224+AE224+AI224+AM224+AQ224)</f>
        <v>1</v>
      </c>
      <c r="AV224" s="9">
        <f>SUM(F224+J224+N224+R224+V224+Z224+AD224+AH224+AL224+AP224+AT224)</f>
        <v>80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</row>
    <row r="225" spans="1:72" s="11" customFormat="1" ht="27" customHeight="1" x14ac:dyDescent="0.15">
      <c r="A225" s="46"/>
      <c r="B225" s="43"/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1</v>
      </c>
      <c r="X225" s="29" t="s">
        <v>64</v>
      </c>
      <c r="Y225" s="9" t="s">
        <v>62</v>
      </c>
      <c r="Z225" s="9">
        <v>80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17">
        <v>0</v>
      </c>
      <c r="AR225" s="9">
        <v>0</v>
      </c>
      <c r="AS225" s="9">
        <v>0</v>
      </c>
      <c r="AT225" s="17">
        <v>0</v>
      </c>
      <c r="AU225" s="9">
        <f t="shared" ref="AU225:AU238" si="65">SUM(C225+G225+K225+O225+S225+W225+AA225+AE225+AI225+AM225+AQ225)</f>
        <v>1</v>
      </c>
      <c r="AV225" s="9">
        <f t="shared" ref="AV225:AV238" si="66">SUM(F225+J225+N225+R225+V225+Z225+AD225+AH225+AL225+AP225+AT225)</f>
        <v>80</v>
      </c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spans="1:72" s="11" customFormat="1" ht="27" customHeight="1" x14ac:dyDescent="0.15">
      <c r="A226" s="46"/>
      <c r="B226" s="43"/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1</v>
      </c>
      <c r="AN226" s="29" t="s">
        <v>87</v>
      </c>
      <c r="AO226" s="29" t="s">
        <v>79</v>
      </c>
      <c r="AP226" s="9">
        <v>106</v>
      </c>
      <c r="AQ226" s="17">
        <v>0</v>
      </c>
      <c r="AR226" s="9">
        <v>0</v>
      </c>
      <c r="AS226" s="9">
        <v>0</v>
      </c>
      <c r="AT226" s="17">
        <v>0</v>
      </c>
      <c r="AU226" s="9">
        <f t="shared" si="65"/>
        <v>1</v>
      </c>
      <c r="AV226" s="9">
        <f t="shared" si="66"/>
        <v>106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</row>
    <row r="227" spans="1:72" s="11" customFormat="1" ht="27" customHeight="1" x14ac:dyDescent="0.15">
      <c r="A227" s="46"/>
      <c r="B227" s="43"/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1</v>
      </c>
      <c r="AN227" s="29" t="s">
        <v>98</v>
      </c>
      <c r="AO227" s="29" t="s">
        <v>99</v>
      </c>
      <c r="AP227" s="9">
        <v>126</v>
      </c>
      <c r="AQ227" s="17">
        <v>0</v>
      </c>
      <c r="AR227" s="9">
        <v>0</v>
      </c>
      <c r="AS227" s="9">
        <v>0</v>
      </c>
      <c r="AT227" s="17">
        <v>0</v>
      </c>
      <c r="AU227" s="9">
        <f t="shared" si="65"/>
        <v>1</v>
      </c>
      <c r="AV227" s="9">
        <f t="shared" si="66"/>
        <v>126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</row>
    <row r="228" spans="1:72" s="11" customFormat="1" ht="27" customHeight="1" x14ac:dyDescent="0.15">
      <c r="A228" s="46"/>
      <c r="B228" s="43"/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17">
        <v>1</v>
      </c>
      <c r="AR228" s="37" t="s">
        <v>106</v>
      </c>
      <c r="AS228" s="29" t="s">
        <v>70</v>
      </c>
      <c r="AT228" s="17">
        <v>30</v>
      </c>
      <c r="AU228" s="9">
        <f t="shared" si="65"/>
        <v>1</v>
      </c>
      <c r="AV228" s="9">
        <f t="shared" si="66"/>
        <v>30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</row>
    <row r="229" spans="1:72" s="11" customFormat="1" ht="27" customHeight="1" x14ac:dyDescent="0.15">
      <c r="A229" s="46"/>
      <c r="B229" s="43"/>
      <c r="C229" s="9"/>
      <c r="D229" s="9"/>
      <c r="E229" s="9"/>
      <c r="F229" s="9"/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17">
        <v>1</v>
      </c>
      <c r="AR229" s="37" t="s">
        <v>114</v>
      </c>
      <c r="AS229" s="9" t="s">
        <v>70</v>
      </c>
      <c r="AT229" s="17">
        <v>30</v>
      </c>
      <c r="AU229" s="9">
        <f t="shared" si="65"/>
        <v>1</v>
      </c>
      <c r="AV229" s="9">
        <f t="shared" si="66"/>
        <v>30</v>
      </c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</row>
    <row r="230" spans="1:72" s="11" customFormat="1" ht="27" customHeight="1" x14ac:dyDescent="0.15">
      <c r="A230" s="46"/>
      <c r="B230" s="43"/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1</v>
      </c>
      <c r="AN230" s="29" t="s">
        <v>121</v>
      </c>
      <c r="AO230" s="9" t="s">
        <v>62</v>
      </c>
      <c r="AP230" s="9">
        <v>80</v>
      </c>
      <c r="AQ230" s="17">
        <v>0</v>
      </c>
      <c r="AR230" s="9">
        <v>0</v>
      </c>
      <c r="AS230" s="9">
        <v>0</v>
      </c>
      <c r="AT230" s="17">
        <v>0</v>
      </c>
      <c r="AU230" s="9">
        <f t="shared" si="65"/>
        <v>1</v>
      </c>
      <c r="AV230" s="9">
        <f t="shared" si="66"/>
        <v>80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</row>
    <row r="231" spans="1:72" s="11" customFormat="1" ht="27" customHeight="1" x14ac:dyDescent="0.15">
      <c r="A231" s="46"/>
      <c r="B231" s="43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29"/>
      <c r="AO231" s="9"/>
      <c r="AP231" s="9"/>
      <c r="AQ231" s="17"/>
      <c r="AR231" s="9"/>
      <c r="AS231" s="9"/>
      <c r="AT231" s="17"/>
      <c r="AU231" s="9"/>
      <c r="AV231" s="9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</row>
    <row r="232" spans="1:72" s="11" customFormat="1" ht="27" customHeight="1" x14ac:dyDescent="0.15">
      <c r="A232" s="46"/>
      <c r="B232" s="43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29"/>
      <c r="AO232" s="9"/>
      <c r="AP232" s="9"/>
      <c r="AQ232" s="17"/>
      <c r="AR232" s="9"/>
      <c r="AS232" s="9"/>
      <c r="AT232" s="17"/>
      <c r="AU232" s="9"/>
      <c r="AV232" s="9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 spans="1:72" s="11" customFormat="1" ht="27" customHeight="1" x14ac:dyDescent="0.15">
      <c r="A233" s="46"/>
      <c r="B233" s="43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29"/>
      <c r="AO233" s="9"/>
      <c r="AP233" s="9"/>
      <c r="AQ233" s="17"/>
      <c r="AR233" s="9"/>
      <c r="AS233" s="9"/>
      <c r="AT233" s="17"/>
      <c r="AU233" s="9"/>
      <c r="AV233" s="9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 spans="1:72" s="11" customFormat="1" ht="27" customHeight="1" x14ac:dyDescent="0.15">
      <c r="A234" s="46"/>
      <c r="B234" s="43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29"/>
      <c r="AO234" s="9"/>
      <c r="AP234" s="9"/>
      <c r="AQ234" s="17"/>
      <c r="AR234" s="9"/>
      <c r="AS234" s="9"/>
      <c r="AT234" s="17"/>
      <c r="AU234" s="9"/>
      <c r="AV234" s="9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</row>
    <row r="235" spans="1:72" s="11" customFormat="1" ht="27" customHeight="1" x14ac:dyDescent="0.15">
      <c r="A235" s="46"/>
      <c r="B235" s="43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29"/>
      <c r="AO235" s="9"/>
      <c r="AP235" s="9"/>
      <c r="AQ235" s="17"/>
      <c r="AR235" s="9"/>
      <c r="AS235" s="9"/>
      <c r="AT235" s="17"/>
      <c r="AU235" s="9"/>
      <c r="AV235" s="9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</row>
    <row r="236" spans="1:72" s="11" customFormat="1" ht="27" customHeight="1" x14ac:dyDescent="0.15">
      <c r="A236" s="46"/>
      <c r="B236" s="43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29"/>
      <c r="AO236" s="9"/>
      <c r="AP236" s="9"/>
      <c r="AQ236" s="17"/>
      <c r="AR236" s="9"/>
      <c r="AS236" s="9"/>
      <c r="AT236" s="17"/>
      <c r="AU236" s="9"/>
      <c r="AV236" s="9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</row>
    <row r="237" spans="1:72" s="11" customFormat="1" ht="27" customHeight="1" x14ac:dyDescent="0.15">
      <c r="A237" s="46"/>
      <c r="B237" s="43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2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17">
        <v>0</v>
      </c>
      <c r="AR237" s="9">
        <v>0</v>
      </c>
      <c r="AS237" s="9">
        <v>0</v>
      </c>
      <c r="AT237" s="17">
        <v>0</v>
      </c>
      <c r="AU237" s="9">
        <f t="shared" si="65"/>
        <v>0</v>
      </c>
      <c r="AV237" s="9">
        <f t="shared" si="66"/>
        <v>0</v>
      </c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</row>
    <row r="238" spans="1:72" s="11" customFormat="1" ht="13" x14ac:dyDescent="0.15">
      <c r="A238" s="46"/>
      <c r="B238" s="44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17">
        <v>0</v>
      </c>
      <c r="AR238" s="9">
        <v>0</v>
      </c>
      <c r="AS238" s="9">
        <v>0</v>
      </c>
      <c r="AT238" s="17">
        <v>0</v>
      </c>
      <c r="AU238" s="9">
        <f t="shared" si="65"/>
        <v>0</v>
      </c>
      <c r="AV238" s="9">
        <f t="shared" si="66"/>
        <v>0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</row>
    <row r="239" spans="1:72" s="21" customFormat="1" ht="13" x14ac:dyDescent="0.15">
      <c r="A239" s="47"/>
      <c r="B239" s="22" t="s">
        <v>18</v>
      </c>
      <c r="C239" s="23">
        <f>SUM(C224:C238)</f>
        <v>0</v>
      </c>
      <c r="D239" s="23"/>
      <c r="E239" s="23"/>
      <c r="F239" s="23">
        <f t="shared" ref="F239:AV239" si="67">SUM(F224:F238)</f>
        <v>0</v>
      </c>
      <c r="G239" s="23">
        <f t="shared" si="67"/>
        <v>0</v>
      </c>
      <c r="H239" s="23"/>
      <c r="I239" s="23"/>
      <c r="J239" s="23">
        <f t="shared" si="67"/>
        <v>0</v>
      </c>
      <c r="K239" s="23">
        <f t="shared" si="67"/>
        <v>0</v>
      </c>
      <c r="L239" s="23"/>
      <c r="M239" s="23"/>
      <c r="N239" s="23">
        <f t="shared" si="67"/>
        <v>0</v>
      </c>
      <c r="O239" s="23">
        <f t="shared" si="67"/>
        <v>0</v>
      </c>
      <c r="P239" s="23"/>
      <c r="Q239" s="23"/>
      <c r="R239" s="23">
        <f t="shared" si="67"/>
        <v>0</v>
      </c>
      <c r="S239" s="23">
        <f t="shared" si="67"/>
        <v>0</v>
      </c>
      <c r="T239" s="23"/>
      <c r="U239" s="23"/>
      <c r="V239" s="23">
        <f t="shared" si="67"/>
        <v>0</v>
      </c>
      <c r="W239" s="23">
        <f t="shared" si="67"/>
        <v>2</v>
      </c>
      <c r="X239" s="23"/>
      <c r="Y239" s="23"/>
      <c r="Z239" s="23">
        <f t="shared" si="67"/>
        <v>160</v>
      </c>
      <c r="AA239" s="23">
        <f t="shared" si="67"/>
        <v>0</v>
      </c>
      <c r="AB239" s="23"/>
      <c r="AC239" s="23"/>
      <c r="AD239" s="23">
        <f t="shared" si="67"/>
        <v>0</v>
      </c>
      <c r="AE239" s="23">
        <f t="shared" si="67"/>
        <v>0</v>
      </c>
      <c r="AF239" s="23"/>
      <c r="AG239" s="23"/>
      <c r="AH239" s="23">
        <f t="shared" si="67"/>
        <v>0</v>
      </c>
      <c r="AI239" s="23">
        <f t="shared" si="67"/>
        <v>0</v>
      </c>
      <c r="AJ239" s="23"/>
      <c r="AK239" s="23"/>
      <c r="AL239" s="23">
        <f t="shared" si="67"/>
        <v>0</v>
      </c>
      <c r="AM239" s="23">
        <f t="shared" si="67"/>
        <v>3</v>
      </c>
      <c r="AN239" s="23"/>
      <c r="AO239" s="23"/>
      <c r="AP239" s="23">
        <f t="shared" si="67"/>
        <v>312</v>
      </c>
      <c r="AQ239" s="23">
        <f t="shared" si="67"/>
        <v>2</v>
      </c>
      <c r="AR239" s="23"/>
      <c r="AS239" s="23"/>
      <c r="AT239" s="23">
        <f t="shared" si="67"/>
        <v>60</v>
      </c>
      <c r="AU239" s="23">
        <f t="shared" si="67"/>
        <v>7</v>
      </c>
      <c r="AV239" s="23">
        <f t="shared" si="67"/>
        <v>532</v>
      </c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72" s="11" customFormat="1" ht="28" x14ac:dyDescent="0.15">
      <c r="A240" s="45">
        <v>17</v>
      </c>
      <c r="B240" s="42" t="s">
        <v>36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1</v>
      </c>
      <c r="X240" s="37" t="s">
        <v>67</v>
      </c>
      <c r="Y240" s="9" t="s">
        <v>62</v>
      </c>
      <c r="Z240" s="9">
        <v>80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17">
        <v>0</v>
      </c>
      <c r="AR240" s="9">
        <v>0</v>
      </c>
      <c r="AS240" s="9">
        <v>0</v>
      </c>
      <c r="AT240" s="17">
        <v>0</v>
      </c>
      <c r="AU240" s="9">
        <f>SUM(C240+G240+K240+O240+S240+W240+AA240+AE240+AI240+AM240+AQ240)</f>
        <v>1</v>
      </c>
      <c r="AV240" s="9">
        <f>SUM(F240+J240+N240+R240+V240+Z240+AD240+AH240+AL240+AP240+AT240)</f>
        <v>80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</row>
    <row r="241" spans="1:72" s="11" customFormat="1" ht="28" x14ac:dyDescent="0.15">
      <c r="A241" s="46"/>
      <c r="B241" s="43"/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1</v>
      </c>
      <c r="X241" s="29" t="s">
        <v>71</v>
      </c>
      <c r="Y241" s="9" t="s">
        <v>72</v>
      </c>
      <c r="Z241" s="9">
        <v>170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17">
        <v>0</v>
      </c>
      <c r="AR241" s="9">
        <v>0</v>
      </c>
      <c r="AS241" s="9">
        <v>0</v>
      </c>
      <c r="AT241" s="17">
        <v>0</v>
      </c>
      <c r="AU241" s="9">
        <f t="shared" ref="AU241:AU254" si="68">SUM(C241+G241+K241+O241+S241+W241+AA241+AE241+AI241+AM241+AQ241)</f>
        <v>1</v>
      </c>
      <c r="AV241" s="9">
        <f t="shared" ref="AV241:AV254" si="69">SUM(F241+J241+N241+R241+V241+Z241+AD241+AH241+AL241+AP241+AT241)</f>
        <v>170</v>
      </c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</row>
    <row r="242" spans="1:72" s="11" customFormat="1" ht="28" x14ac:dyDescent="0.15">
      <c r="A242" s="46"/>
      <c r="B242" s="43"/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1</v>
      </c>
      <c r="AN242" s="29" t="s">
        <v>82</v>
      </c>
      <c r="AO242" s="9" t="s">
        <v>81</v>
      </c>
      <c r="AP242" s="9">
        <v>160</v>
      </c>
      <c r="AQ242" s="17">
        <v>0</v>
      </c>
      <c r="AR242" s="9">
        <v>0</v>
      </c>
      <c r="AS242" s="9">
        <v>0</v>
      </c>
      <c r="AT242" s="17">
        <v>0</v>
      </c>
      <c r="AU242" s="9">
        <f t="shared" si="68"/>
        <v>1</v>
      </c>
      <c r="AV242" s="9">
        <f t="shared" si="69"/>
        <v>160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</row>
    <row r="243" spans="1:72" s="11" customFormat="1" ht="28" x14ac:dyDescent="0.15">
      <c r="A243" s="46"/>
      <c r="B243" s="43"/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1</v>
      </c>
      <c r="T243" s="29" t="s">
        <v>106</v>
      </c>
      <c r="U243" s="9" t="s">
        <v>107</v>
      </c>
      <c r="V243" s="9">
        <v>96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17">
        <v>0</v>
      </c>
      <c r="AR243" s="9">
        <v>0</v>
      </c>
      <c r="AS243" s="9">
        <v>0</v>
      </c>
      <c r="AT243" s="17">
        <v>0</v>
      </c>
      <c r="AU243" s="9">
        <f t="shared" si="68"/>
        <v>1</v>
      </c>
      <c r="AV243" s="9">
        <f t="shared" si="69"/>
        <v>96</v>
      </c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</row>
    <row r="244" spans="1:72" s="11" customFormat="1" ht="13" x14ac:dyDescent="0.15">
      <c r="A244" s="46"/>
      <c r="B244" s="43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37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17">
        <v>0</v>
      </c>
      <c r="AR244" s="9">
        <v>0</v>
      </c>
      <c r="AS244" s="9">
        <v>0</v>
      </c>
      <c r="AT244" s="17">
        <v>0</v>
      </c>
      <c r="AU244" s="9">
        <f t="shared" si="68"/>
        <v>0</v>
      </c>
      <c r="AV244" s="9">
        <f t="shared" si="69"/>
        <v>0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</row>
    <row r="245" spans="1:72" s="11" customFormat="1" ht="13" x14ac:dyDescent="0.15">
      <c r="A245" s="46"/>
      <c r="B245" s="43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37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17">
        <v>0</v>
      </c>
      <c r="AR245" s="9">
        <v>0</v>
      </c>
      <c r="AS245" s="9">
        <v>0</v>
      </c>
      <c r="AT245" s="17">
        <v>0</v>
      </c>
      <c r="AU245" s="9">
        <f t="shared" si="68"/>
        <v>0</v>
      </c>
      <c r="AV245" s="9">
        <f t="shared" si="69"/>
        <v>0</v>
      </c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</row>
    <row r="246" spans="1:72" s="11" customFormat="1" ht="13" x14ac:dyDescent="0.15">
      <c r="A246" s="46"/>
      <c r="B246" s="43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37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17"/>
      <c r="AR246" s="9"/>
      <c r="AS246" s="9"/>
      <c r="AT246" s="17"/>
      <c r="AU246" s="9"/>
      <c r="AV246" s="9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</row>
    <row r="247" spans="1:72" s="11" customFormat="1" ht="13" x14ac:dyDescent="0.15">
      <c r="A247" s="46"/>
      <c r="B247" s="43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37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17"/>
      <c r="AR247" s="9"/>
      <c r="AS247" s="9"/>
      <c r="AT247" s="17"/>
      <c r="AU247" s="9"/>
      <c r="AV247" s="9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</row>
    <row r="248" spans="1:72" s="11" customFormat="1" ht="13" x14ac:dyDescent="0.15">
      <c r="A248" s="46"/>
      <c r="B248" s="43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37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17"/>
      <c r="AR248" s="9"/>
      <c r="AS248" s="9"/>
      <c r="AT248" s="17"/>
      <c r="AU248" s="9"/>
      <c r="AV248" s="9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</row>
    <row r="249" spans="1:72" s="11" customFormat="1" ht="13" x14ac:dyDescent="0.15">
      <c r="A249" s="46"/>
      <c r="B249" s="43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37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17">
        <v>0</v>
      </c>
      <c r="AR249" s="9">
        <v>0</v>
      </c>
      <c r="AS249" s="9">
        <v>0</v>
      </c>
      <c r="AT249" s="17">
        <v>0</v>
      </c>
      <c r="AU249" s="9">
        <f t="shared" si="68"/>
        <v>0</v>
      </c>
      <c r="AV249" s="9">
        <f t="shared" si="69"/>
        <v>0</v>
      </c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</row>
    <row r="250" spans="1:72" s="11" customFormat="1" ht="13" x14ac:dyDescent="0.15">
      <c r="A250" s="46"/>
      <c r="B250" s="43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37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17"/>
      <c r="AR250" s="9"/>
      <c r="AS250" s="9"/>
      <c r="AT250" s="17"/>
      <c r="AU250" s="9"/>
      <c r="AV250" s="9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</row>
    <row r="251" spans="1:72" s="11" customFormat="1" ht="13" x14ac:dyDescent="0.15">
      <c r="A251" s="46"/>
      <c r="B251" s="43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37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17">
        <v>0</v>
      </c>
      <c r="AR251" s="9">
        <v>0</v>
      </c>
      <c r="AS251" s="9">
        <v>0</v>
      </c>
      <c r="AT251" s="17">
        <v>0</v>
      </c>
      <c r="AU251" s="9">
        <f t="shared" si="68"/>
        <v>0</v>
      </c>
      <c r="AV251" s="9">
        <f t="shared" si="69"/>
        <v>0</v>
      </c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</row>
    <row r="252" spans="1:72" s="11" customFormat="1" ht="13" x14ac:dyDescent="0.15">
      <c r="A252" s="46"/>
      <c r="B252" s="43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37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17">
        <v>0</v>
      </c>
      <c r="AR252" s="9">
        <v>0</v>
      </c>
      <c r="AS252" s="9">
        <v>0</v>
      </c>
      <c r="AT252" s="17">
        <v>0</v>
      </c>
      <c r="AU252" s="9">
        <f t="shared" si="68"/>
        <v>0</v>
      </c>
      <c r="AV252" s="9">
        <f t="shared" si="69"/>
        <v>0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</row>
    <row r="253" spans="1:72" s="11" customFormat="1" ht="13" x14ac:dyDescent="0.15">
      <c r="A253" s="46"/>
      <c r="B253" s="43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17">
        <v>0</v>
      </c>
      <c r="AR253" s="9">
        <v>0</v>
      </c>
      <c r="AS253" s="9">
        <v>0</v>
      </c>
      <c r="AT253" s="17">
        <v>0</v>
      </c>
      <c r="AU253" s="9">
        <f t="shared" si="68"/>
        <v>0</v>
      </c>
      <c r="AV253" s="9">
        <f t="shared" si="69"/>
        <v>0</v>
      </c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</row>
    <row r="254" spans="1:72" s="11" customFormat="1" ht="13" x14ac:dyDescent="0.15">
      <c r="A254" s="46"/>
      <c r="B254" s="44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17">
        <v>0</v>
      </c>
      <c r="AR254" s="9">
        <v>0</v>
      </c>
      <c r="AS254" s="9">
        <v>0</v>
      </c>
      <c r="AT254" s="17">
        <v>0</v>
      </c>
      <c r="AU254" s="9">
        <f t="shared" si="68"/>
        <v>0</v>
      </c>
      <c r="AV254" s="9">
        <f t="shared" si="69"/>
        <v>0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</row>
    <row r="255" spans="1:72" s="21" customFormat="1" ht="13" x14ac:dyDescent="0.15">
      <c r="A255" s="47"/>
      <c r="B255" s="22" t="s">
        <v>18</v>
      </c>
      <c r="C255" s="23">
        <f>SUM(C240:C254)</f>
        <v>0</v>
      </c>
      <c r="D255" s="23"/>
      <c r="E255" s="23"/>
      <c r="F255" s="23">
        <f t="shared" ref="F255:AU255" si="70">SUM(F240:F254)</f>
        <v>0</v>
      </c>
      <c r="G255" s="23">
        <f t="shared" si="70"/>
        <v>0</v>
      </c>
      <c r="H255" s="23"/>
      <c r="I255" s="23"/>
      <c r="J255" s="23">
        <f t="shared" si="70"/>
        <v>0</v>
      </c>
      <c r="K255" s="23">
        <f t="shared" si="70"/>
        <v>0</v>
      </c>
      <c r="L255" s="23"/>
      <c r="M255" s="23"/>
      <c r="N255" s="23">
        <f t="shared" si="70"/>
        <v>0</v>
      </c>
      <c r="O255" s="23">
        <f t="shared" si="70"/>
        <v>0</v>
      </c>
      <c r="P255" s="23"/>
      <c r="Q255" s="23"/>
      <c r="R255" s="23">
        <f t="shared" si="70"/>
        <v>0</v>
      </c>
      <c r="S255" s="23">
        <f t="shared" si="70"/>
        <v>1</v>
      </c>
      <c r="T255" s="23"/>
      <c r="U255" s="23"/>
      <c r="V255" s="23">
        <f t="shared" si="70"/>
        <v>96</v>
      </c>
      <c r="W255" s="23">
        <f t="shared" si="70"/>
        <v>2</v>
      </c>
      <c r="X255" s="23"/>
      <c r="Y255" s="23"/>
      <c r="Z255" s="23">
        <f t="shared" si="70"/>
        <v>250</v>
      </c>
      <c r="AA255" s="23">
        <f t="shared" si="70"/>
        <v>0</v>
      </c>
      <c r="AB255" s="23"/>
      <c r="AC255" s="23"/>
      <c r="AD255" s="23">
        <f t="shared" si="70"/>
        <v>0</v>
      </c>
      <c r="AE255" s="23">
        <f t="shared" si="70"/>
        <v>0</v>
      </c>
      <c r="AF255" s="23"/>
      <c r="AG255" s="23"/>
      <c r="AH255" s="23">
        <f t="shared" si="70"/>
        <v>0</v>
      </c>
      <c r="AI255" s="23">
        <f t="shared" si="70"/>
        <v>0</v>
      </c>
      <c r="AJ255" s="23"/>
      <c r="AK255" s="23"/>
      <c r="AL255" s="23">
        <f t="shared" si="70"/>
        <v>0</v>
      </c>
      <c r="AM255" s="23">
        <f t="shared" si="70"/>
        <v>1</v>
      </c>
      <c r="AN255" s="23"/>
      <c r="AO255" s="23"/>
      <c r="AP255" s="23">
        <f t="shared" si="70"/>
        <v>160</v>
      </c>
      <c r="AQ255" s="23">
        <f t="shared" si="70"/>
        <v>0</v>
      </c>
      <c r="AR255" s="23"/>
      <c r="AS255" s="23"/>
      <c r="AT255" s="23">
        <f t="shared" si="70"/>
        <v>0</v>
      </c>
      <c r="AU255" s="23">
        <f t="shared" si="70"/>
        <v>4</v>
      </c>
      <c r="AV255" s="23">
        <f>SUM(AV240:AV254)</f>
        <v>506</v>
      </c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 spans="1:72" s="11" customFormat="1" ht="28" x14ac:dyDescent="0.15">
      <c r="A256" s="45">
        <v>18</v>
      </c>
      <c r="B256" s="42" t="s">
        <v>37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1</v>
      </c>
      <c r="X256" s="29" t="s">
        <v>75</v>
      </c>
      <c r="Y256" s="9" t="s">
        <v>62</v>
      </c>
      <c r="Z256" s="9">
        <v>80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17">
        <v>0</v>
      </c>
      <c r="AR256" s="9">
        <v>0</v>
      </c>
      <c r="AS256" s="9">
        <v>0</v>
      </c>
      <c r="AT256" s="17">
        <v>0</v>
      </c>
      <c r="AU256" s="9">
        <f>SUM(C256+G256+K256+O256+S256+W256+AA256+AE256+AI256+AM256+AQ256)</f>
        <v>1</v>
      </c>
      <c r="AV256" s="9">
        <f>SUM(F256+J256+N256+R256+V256+Z256+AD256+AH256+AL256+AP256+AT256)</f>
        <v>80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</row>
    <row r="257" spans="1:72" s="11" customFormat="1" ht="28" x14ac:dyDescent="0.15">
      <c r="A257" s="46"/>
      <c r="B257" s="43"/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1</v>
      </c>
      <c r="AN257" s="29" t="s">
        <v>87</v>
      </c>
      <c r="AO257" s="29" t="s">
        <v>79</v>
      </c>
      <c r="AP257" s="9">
        <v>106</v>
      </c>
      <c r="AQ257" s="17">
        <v>0</v>
      </c>
      <c r="AR257" s="9">
        <v>0</v>
      </c>
      <c r="AS257" s="9">
        <v>0</v>
      </c>
      <c r="AT257" s="17">
        <v>0</v>
      </c>
      <c r="AU257" s="9">
        <f t="shared" ref="AU257:AU271" si="71">SUM(C257+G257+K257+O257+S257+W257+AA257+AE257+AI257+AM257+AQ257)</f>
        <v>1</v>
      </c>
      <c r="AV257" s="9">
        <f t="shared" ref="AV257:AV271" si="72">SUM(F257+J257+N257+R257+V257+Z257+AD257+AH257+AL257+AP257+AT257)</f>
        <v>106</v>
      </c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</row>
    <row r="258" spans="1:72" s="11" customFormat="1" ht="28" x14ac:dyDescent="0.15">
      <c r="A258" s="46"/>
      <c r="B258" s="43"/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1</v>
      </c>
      <c r="X258" s="29" t="s">
        <v>95</v>
      </c>
      <c r="Y258" s="9" t="s">
        <v>62</v>
      </c>
      <c r="Z258" s="9">
        <v>80</v>
      </c>
      <c r="AA258" s="9"/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17">
        <v>0</v>
      </c>
      <c r="AR258" s="9">
        <v>0</v>
      </c>
      <c r="AS258" s="9">
        <v>0</v>
      </c>
      <c r="AT258" s="17">
        <v>0</v>
      </c>
      <c r="AU258" s="9">
        <f t="shared" si="71"/>
        <v>1</v>
      </c>
      <c r="AV258" s="9">
        <f t="shared" si="72"/>
        <v>80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</row>
    <row r="259" spans="1:72" s="11" customFormat="1" ht="28" x14ac:dyDescent="0.15">
      <c r="A259" s="46"/>
      <c r="B259" s="43"/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1</v>
      </c>
      <c r="AN259" s="29" t="s">
        <v>113</v>
      </c>
      <c r="AO259" s="29" t="s">
        <v>99</v>
      </c>
      <c r="AP259" s="9">
        <v>126</v>
      </c>
      <c r="AQ259" s="17">
        <v>0</v>
      </c>
      <c r="AR259" s="9">
        <v>0</v>
      </c>
      <c r="AS259" s="9">
        <v>0</v>
      </c>
      <c r="AT259" s="17">
        <v>0</v>
      </c>
      <c r="AU259" s="9">
        <f t="shared" si="71"/>
        <v>1</v>
      </c>
      <c r="AV259" s="9">
        <f t="shared" si="72"/>
        <v>126</v>
      </c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</row>
    <row r="260" spans="1:72" s="11" customFormat="1" ht="13" x14ac:dyDescent="0.15">
      <c r="A260" s="46"/>
      <c r="B260" s="43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17">
        <v>0</v>
      </c>
      <c r="AR260" s="9">
        <v>0</v>
      </c>
      <c r="AS260" s="9">
        <v>0</v>
      </c>
      <c r="AT260" s="17">
        <v>0</v>
      </c>
      <c r="AU260" s="9">
        <f t="shared" si="71"/>
        <v>0</v>
      </c>
      <c r="AV260" s="9">
        <f t="shared" si="72"/>
        <v>0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</row>
    <row r="261" spans="1:72" s="11" customFormat="1" ht="13" x14ac:dyDescent="0.15">
      <c r="A261" s="46"/>
      <c r="B261" s="43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17">
        <v>0</v>
      </c>
      <c r="AR261" s="9">
        <v>0</v>
      </c>
      <c r="AS261" s="9">
        <v>0</v>
      </c>
      <c r="AT261" s="17">
        <v>0</v>
      </c>
      <c r="AU261" s="9">
        <f t="shared" si="71"/>
        <v>0</v>
      </c>
      <c r="AV261" s="9">
        <f t="shared" si="72"/>
        <v>0</v>
      </c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</row>
    <row r="262" spans="1:72" s="11" customFormat="1" ht="13" x14ac:dyDescent="0.15">
      <c r="A262" s="46"/>
      <c r="B262" s="43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17"/>
      <c r="AR262" s="9"/>
      <c r="AS262" s="9"/>
      <c r="AT262" s="17"/>
      <c r="AU262" s="9"/>
      <c r="AV262" s="9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</row>
    <row r="263" spans="1:72" s="11" customFormat="1" ht="13" x14ac:dyDescent="0.15">
      <c r="A263" s="46"/>
      <c r="B263" s="43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17"/>
      <c r="AR263" s="9"/>
      <c r="AS263" s="9"/>
      <c r="AT263" s="17"/>
      <c r="AU263" s="9"/>
      <c r="AV263" s="9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</row>
    <row r="264" spans="1:72" s="11" customFormat="1" ht="13" x14ac:dyDescent="0.15">
      <c r="A264" s="46"/>
      <c r="B264" s="43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17"/>
      <c r="AR264" s="9"/>
      <c r="AS264" s="9"/>
      <c r="AT264" s="17"/>
      <c r="AU264" s="9"/>
      <c r="AV264" s="9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</row>
    <row r="265" spans="1:72" s="11" customFormat="1" ht="13" x14ac:dyDescent="0.15">
      <c r="A265" s="46"/>
      <c r="B265" s="43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17">
        <v>0</v>
      </c>
      <c r="AR265" s="9">
        <v>0</v>
      </c>
      <c r="AS265" s="9">
        <v>0</v>
      </c>
      <c r="AT265" s="17">
        <v>0</v>
      </c>
      <c r="AU265" s="9">
        <f t="shared" si="71"/>
        <v>0</v>
      </c>
      <c r="AV265" s="9">
        <f t="shared" si="72"/>
        <v>0</v>
      </c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</row>
    <row r="266" spans="1:72" s="11" customFormat="1" ht="13" x14ac:dyDescent="0.15">
      <c r="A266" s="46"/>
      <c r="B266" s="43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17">
        <v>0</v>
      </c>
      <c r="AR266" s="9">
        <v>0</v>
      </c>
      <c r="AS266" s="9">
        <v>0</v>
      </c>
      <c r="AT266" s="17">
        <v>0</v>
      </c>
      <c r="AU266" s="9">
        <f t="shared" si="71"/>
        <v>0</v>
      </c>
      <c r="AV266" s="9">
        <f t="shared" si="72"/>
        <v>0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</row>
    <row r="267" spans="1:72" s="11" customFormat="1" ht="13" x14ac:dyDescent="0.15">
      <c r="A267" s="46"/>
      <c r="B267" s="44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17">
        <v>0</v>
      </c>
      <c r="AR267" s="9">
        <v>0</v>
      </c>
      <c r="AS267" s="9">
        <v>0</v>
      </c>
      <c r="AT267" s="17">
        <v>0</v>
      </c>
      <c r="AU267" s="9">
        <f t="shared" si="71"/>
        <v>0</v>
      </c>
      <c r="AV267" s="9">
        <f t="shared" si="72"/>
        <v>0</v>
      </c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</row>
    <row r="268" spans="1:72" s="21" customFormat="1" ht="13" x14ac:dyDescent="0.15">
      <c r="A268" s="47"/>
      <c r="B268" s="22" t="s">
        <v>18</v>
      </c>
      <c r="C268" s="23">
        <f>SUM(C256:C267)</f>
        <v>0</v>
      </c>
      <c r="D268" s="23"/>
      <c r="E268" s="23"/>
      <c r="F268" s="23">
        <f t="shared" ref="F268" si="73">SUM(F256:F267)</f>
        <v>0</v>
      </c>
      <c r="G268" s="23">
        <f t="shared" ref="G268" si="74">SUM(G256:G267)</f>
        <v>0</v>
      </c>
      <c r="H268" s="23"/>
      <c r="I268" s="23"/>
      <c r="J268" s="23">
        <f t="shared" ref="J268" si="75">SUM(J256:J267)</f>
        <v>0</v>
      </c>
      <c r="K268" s="23">
        <f t="shared" ref="K268" si="76">SUM(K256:K267)</f>
        <v>0</v>
      </c>
      <c r="L268" s="23"/>
      <c r="M268" s="23"/>
      <c r="N268" s="23">
        <f t="shared" ref="N268" si="77">SUM(N256:N267)</f>
        <v>0</v>
      </c>
      <c r="O268" s="23">
        <f t="shared" ref="O268" si="78">SUM(O256:O267)</f>
        <v>0</v>
      </c>
      <c r="P268" s="23"/>
      <c r="Q268" s="23"/>
      <c r="R268" s="23">
        <f t="shared" ref="R268" si="79">SUM(R256:R267)</f>
        <v>0</v>
      </c>
      <c r="S268" s="23">
        <f t="shared" ref="S268" si="80">SUM(S256:S267)</f>
        <v>0</v>
      </c>
      <c r="T268" s="23"/>
      <c r="U268" s="23"/>
      <c r="V268" s="23">
        <f t="shared" ref="V268" si="81">SUM(V256:V267)</f>
        <v>0</v>
      </c>
      <c r="W268" s="23">
        <f t="shared" ref="W268" si="82">SUM(W256:W267)</f>
        <v>2</v>
      </c>
      <c r="X268" s="23"/>
      <c r="Y268" s="23"/>
      <c r="Z268" s="23">
        <f t="shared" ref="Z268" si="83">SUM(Z256:Z267)</f>
        <v>160</v>
      </c>
      <c r="AA268" s="23">
        <f t="shared" ref="AA268" si="84">SUM(AA256:AA267)</f>
        <v>0</v>
      </c>
      <c r="AB268" s="23"/>
      <c r="AC268" s="23"/>
      <c r="AD268" s="23">
        <f t="shared" ref="AD268" si="85">SUM(AD256:AD267)</f>
        <v>0</v>
      </c>
      <c r="AE268" s="23">
        <f t="shared" ref="AE268" si="86">SUM(AE256:AE267)</f>
        <v>0</v>
      </c>
      <c r="AF268" s="23"/>
      <c r="AG268" s="23"/>
      <c r="AH268" s="23">
        <f t="shared" ref="AH268" si="87">SUM(AH256:AH267)</f>
        <v>0</v>
      </c>
      <c r="AI268" s="23">
        <f t="shared" ref="AI268" si="88">SUM(AI256:AI267)</f>
        <v>0</v>
      </c>
      <c r="AJ268" s="23"/>
      <c r="AK268" s="23"/>
      <c r="AL268" s="23">
        <f t="shared" ref="AL268" si="89">SUM(AL256:AL267)</f>
        <v>0</v>
      </c>
      <c r="AM268" s="23">
        <f t="shared" ref="AM268" si="90">SUM(AM256:AM267)</f>
        <v>2</v>
      </c>
      <c r="AN268" s="23"/>
      <c r="AO268" s="23"/>
      <c r="AP268" s="23">
        <f t="shared" ref="AP268:AT268" si="91">SUM(AP256:AP267)</f>
        <v>232</v>
      </c>
      <c r="AQ268" s="23">
        <f t="shared" si="91"/>
        <v>0</v>
      </c>
      <c r="AR268" s="23"/>
      <c r="AS268" s="23"/>
      <c r="AT268" s="23">
        <f t="shared" si="91"/>
        <v>0</v>
      </c>
      <c r="AU268" s="23">
        <f>SUM(AU256:AU267)</f>
        <v>4</v>
      </c>
      <c r="AV268" s="23">
        <f>SUM(AV256:AV267)</f>
        <v>392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72" s="11" customFormat="1" ht="28" x14ac:dyDescent="0.15">
      <c r="A269" s="45">
        <v>19</v>
      </c>
      <c r="B269" s="42" t="s">
        <v>38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1</v>
      </c>
      <c r="X269" s="29" t="s">
        <v>75</v>
      </c>
      <c r="Y269" s="9" t="s">
        <v>70</v>
      </c>
      <c r="Z269" s="9">
        <v>80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17">
        <v>0</v>
      </c>
      <c r="AR269" s="9">
        <v>0</v>
      </c>
      <c r="AS269" s="9">
        <v>0</v>
      </c>
      <c r="AT269" s="17">
        <v>0</v>
      </c>
      <c r="AU269" s="9">
        <f t="shared" si="71"/>
        <v>1</v>
      </c>
      <c r="AV269" s="9">
        <f t="shared" si="72"/>
        <v>80</v>
      </c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</row>
    <row r="270" spans="1:72" s="11" customFormat="1" ht="29.25" customHeight="1" x14ac:dyDescent="0.15">
      <c r="A270" s="46"/>
      <c r="B270" s="43"/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1</v>
      </c>
      <c r="X270" s="29" t="s">
        <v>76</v>
      </c>
      <c r="Y270" s="9" t="s">
        <v>83</v>
      </c>
      <c r="Z270" s="9">
        <v>80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17">
        <v>0</v>
      </c>
      <c r="AR270" s="9">
        <v>0</v>
      </c>
      <c r="AS270" s="9">
        <v>0</v>
      </c>
      <c r="AT270" s="17">
        <v>0</v>
      </c>
      <c r="AU270" s="9">
        <f t="shared" si="71"/>
        <v>1</v>
      </c>
      <c r="AV270" s="9">
        <f t="shared" si="72"/>
        <v>80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</row>
    <row r="271" spans="1:72" s="11" customFormat="1" ht="30.75" customHeight="1" x14ac:dyDescent="0.15">
      <c r="A271" s="46"/>
      <c r="B271" s="43"/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1</v>
      </c>
      <c r="T271" s="29" t="s">
        <v>78</v>
      </c>
      <c r="U271" s="9" t="s">
        <v>77</v>
      </c>
      <c r="V271" s="9">
        <v>74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17">
        <v>0</v>
      </c>
      <c r="AR271" s="9">
        <v>0</v>
      </c>
      <c r="AS271" s="9">
        <v>0</v>
      </c>
      <c r="AT271" s="17">
        <v>0</v>
      </c>
      <c r="AU271" s="9">
        <f t="shared" si="71"/>
        <v>1</v>
      </c>
      <c r="AV271" s="9">
        <f t="shared" si="72"/>
        <v>74</v>
      </c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</row>
    <row r="272" spans="1:72" s="11" customFormat="1" ht="30.75" customHeight="1" x14ac:dyDescent="0.15">
      <c r="A272" s="46"/>
      <c r="B272" s="43"/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1</v>
      </c>
      <c r="X272" s="29" t="s">
        <v>89</v>
      </c>
      <c r="Y272" s="9" t="s">
        <v>70</v>
      </c>
      <c r="Z272" s="9">
        <v>80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17">
        <v>0</v>
      </c>
      <c r="AR272" s="9">
        <v>0</v>
      </c>
      <c r="AS272" s="9">
        <v>0</v>
      </c>
      <c r="AT272" s="17">
        <v>0</v>
      </c>
      <c r="AU272" s="9">
        <f t="shared" ref="AU272:AU375" si="92">SUM(C272+G272+K272+O272+S272+W272+AA272+AE272+AI272+AM272+AQ272)</f>
        <v>1</v>
      </c>
      <c r="AV272" s="9">
        <f t="shared" ref="AV272:AV375" si="93">SUM(F272+J272+N272+R272+V272+Z272+AD272+AH272+AL272+AP272+AT272)</f>
        <v>80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</row>
    <row r="273" spans="1:72" s="11" customFormat="1" ht="36" customHeight="1" x14ac:dyDescent="0.15">
      <c r="A273" s="46"/>
      <c r="B273" s="43"/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1</v>
      </c>
      <c r="X273" s="29" t="s">
        <v>95</v>
      </c>
      <c r="Y273" s="9" t="s">
        <v>83</v>
      </c>
      <c r="Z273" s="9">
        <v>80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17">
        <v>0</v>
      </c>
      <c r="AR273" s="9">
        <v>0</v>
      </c>
      <c r="AS273" s="9">
        <v>0</v>
      </c>
      <c r="AT273" s="17">
        <v>0</v>
      </c>
      <c r="AU273" s="9">
        <f t="shared" si="92"/>
        <v>1</v>
      </c>
      <c r="AV273" s="9">
        <f t="shared" si="93"/>
        <v>80</v>
      </c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</row>
    <row r="274" spans="1:72" s="11" customFormat="1" ht="31.5" customHeight="1" x14ac:dyDescent="0.15">
      <c r="A274" s="46"/>
      <c r="B274" s="43"/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1</v>
      </c>
      <c r="T274" s="29" t="s">
        <v>106</v>
      </c>
      <c r="U274" s="9" t="s">
        <v>107</v>
      </c>
      <c r="V274" s="9">
        <v>96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17">
        <v>0</v>
      </c>
      <c r="AR274" s="9">
        <v>0</v>
      </c>
      <c r="AS274" s="9">
        <v>0</v>
      </c>
      <c r="AT274" s="17">
        <v>0</v>
      </c>
      <c r="AU274" s="9">
        <f t="shared" si="92"/>
        <v>1</v>
      </c>
      <c r="AV274" s="9">
        <f t="shared" si="93"/>
        <v>96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</row>
    <row r="275" spans="1:72" s="11" customFormat="1" ht="31.5" customHeight="1" x14ac:dyDescent="0.15">
      <c r="A275" s="46"/>
      <c r="B275" s="43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2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17"/>
      <c r="AR275" s="9"/>
      <c r="AS275" s="9"/>
      <c r="AT275" s="17"/>
      <c r="AU275" s="9"/>
      <c r="AV275" s="9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</row>
    <row r="276" spans="1:72" s="11" customFormat="1" ht="31.5" customHeight="1" x14ac:dyDescent="0.15">
      <c r="A276" s="46"/>
      <c r="B276" s="43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2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17"/>
      <c r="AR276" s="9"/>
      <c r="AS276" s="9"/>
      <c r="AT276" s="17"/>
      <c r="AU276" s="9"/>
      <c r="AV276" s="9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</row>
    <row r="277" spans="1:72" s="11" customFormat="1" ht="31.5" customHeight="1" x14ac:dyDescent="0.15">
      <c r="A277" s="46"/>
      <c r="B277" s="43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2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17"/>
      <c r="AR277" s="9"/>
      <c r="AS277" s="9"/>
      <c r="AT277" s="17"/>
      <c r="AU277" s="9"/>
      <c r="AV277" s="9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</row>
    <row r="278" spans="1:72" s="11" customFormat="1" ht="31.5" customHeight="1" x14ac:dyDescent="0.15">
      <c r="A278" s="46"/>
      <c r="B278" s="43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2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17"/>
      <c r="AR278" s="9"/>
      <c r="AS278" s="9"/>
      <c r="AT278" s="17"/>
      <c r="AU278" s="9"/>
      <c r="AV278" s="9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</row>
    <row r="279" spans="1:72" s="11" customFormat="1" ht="12.75" customHeight="1" x14ac:dyDescent="0.15">
      <c r="A279" s="46"/>
      <c r="B279" s="43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17">
        <v>0</v>
      </c>
      <c r="AR279" s="9">
        <v>0</v>
      </c>
      <c r="AS279" s="9">
        <v>0</v>
      </c>
      <c r="AT279" s="17">
        <v>0</v>
      </c>
      <c r="AU279" s="9">
        <f t="shared" si="92"/>
        <v>0</v>
      </c>
      <c r="AV279" s="9">
        <f t="shared" si="93"/>
        <v>0</v>
      </c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</row>
    <row r="280" spans="1:72" s="11" customFormat="1" ht="12.75" customHeight="1" x14ac:dyDescent="0.15">
      <c r="A280" s="46"/>
      <c r="B280" s="43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17"/>
      <c r="AR280" s="9"/>
      <c r="AS280" s="9"/>
      <c r="AT280" s="17"/>
      <c r="AU280" s="9"/>
      <c r="AV280" s="9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</row>
    <row r="281" spans="1:72" s="11" customFormat="1" ht="12.75" customHeight="1" x14ac:dyDescent="0.15">
      <c r="A281" s="46"/>
      <c r="B281" s="43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17"/>
      <c r="AR281" s="9"/>
      <c r="AS281" s="9"/>
      <c r="AT281" s="17"/>
      <c r="AU281" s="9"/>
      <c r="AV281" s="9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</row>
    <row r="282" spans="1:72" s="11" customFormat="1" ht="12.75" customHeight="1" x14ac:dyDescent="0.15">
      <c r="A282" s="46"/>
      <c r="B282" s="43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17">
        <v>0</v>
      </c>
      <c r="AR282" s="9">
        <v>0</v>
      </c>
      <c r="AS282" s="9">
        <v>0</v>
      </c>
      <c r="AT282" s="17">
        <v>0</v>
      </c>
      <c r="AU282" s="9">
        <f t="shared" si="92"/>
        <v>0</v>
      </c>
      <c r="AV282" s="9">
        <f t="shared" si="93"/>
        <v>0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</row>
    <row r="283" spans="1:72" s="11" customFormat="1" ht="12.75" customHeight="1" x14ac:dyDescent="0.15">
      <c r="A283" s="46"/>
      <c r="B283" s="44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17">
        <v>0</v>
      </c>
      <c r="AR283" s="9">
        <v>0</v>
      </c>
      <c r="AS283" s="9">
        <v>0</v>
      </c>
      <c r="AT283" s="17">
        <v>0</v>
      </c>
      <c r="AU283" s="9">
        <f t="shared" si="92"/>
        <v>0</v>
      </c>
      <c r="AV283" s="9">
        <f t="shared" si="93"/>
        <v>0</v>
      </c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</row>
    <row r="284" spans="1:72" s="21" customFormat="1" ht="12.75" customHeight="1" x14ac:dyDescent="0.15">
      <c r="A284" s="47"/>
      <c r="B284" s="22" t="s">
        <v>18</v>
      </c>
      <c r="C284" s="23">
        <f>SUM(C269:C283)</f>
        <v>0</v>
      </c>
      <c r="D284" s="23"/>
      <c r="E284" s="23"/>
      <c r="F284" s="23">
        <f t="shared" ref="F284" si="94">SUM(F269:F283)</f>
        <v>0</v>
      </c>
      <c r="G284" s="23">
        <f t="shared" ref="G284" si="95">SUM(G269:G283)</f>
        <v>0</v>
      </c>
      <c r="H284" s="23"/>
      <c r="I284" s="23"/>
      <c r="J284" s="23">
        <f t="shared" ref="J284" si="96">SUM(J269:J283)</f>
        <v>0</v>
      </c>
      <c r="K284" s="23">
        <f t="shared" ref="K284" si="97">SUM(K269:K283)</f>
        <v>0</v>
      </c>
      <c r="L284" s="23"/>
      <c r="M284" s="23"/>
      <c r="N284" s="23">
        <f t="shared" ref="N284" si="98">SUM(N269:N283)</f>
        <v>0</v>
      </c>
      <c r="O284" s="23">
        <f t="shared" ref="O284" si="99">SUM(O269:O283)</f>
        <v>0</v>
      </c>
      <c r="P284" s="23"/>
      <c r="Q284" s="23"/>
      <c r="R284" s="23">
        <f t="shared" ref="R284" si="100">SUM(R269:R283)</f>
        <v>0</v>
      </c>
      <c r="S284" s="23">
        <f t="shared" ref="S284" si="101">SUM(S269:S283)</f>
        <v>2</v>
      </c>
      <c r="T284" s="23"/>
      <c r="U284" s="23"/>
      <c r="V284" s="23">
        <f t="shared" ref="V284" si="102">SUM(V269:V283)</f>
        <v>170</v>
      </c>
      <c r="W284" s="23">
        <f t="shared" ref="W284" si="103">SUM(W269:W283)</f>
        <v>4</v>
      </c>
      <c r="X284" s="23"/>
      <c r="Y284" s="23"/>
      <c r="Z284" s="23">
        <f t="shared" ref="Z284" si="104">SUM(Z269:Z283)</f>
        <v>320</v>
      </c>
      <c r="AA284" s="23">
        <f t="shared" ref="AA284" si="105">SUM(AA269:AA283)</f>
        <v>0</v>
      </c>
      <c r="AB284" s="23"/>
      <c r="AC284" s="23"/>
      <c r="AD284" s="23">
        <f t="shared" ref="AD284" si="106">SUM(AD269:AD283)</f>
        <v>0</v>
      </c>
      <c r="AE284" s="23">
        <f t="shared" ref="AE284" si="107">SUM(AE269:AE283)</f>
        <v>0</v>
      </c>
      <c r="AF284" s="23"/>
      <c r="AG284" s="23"/>
      <c r="AH284" s="23">
        <f t="shared" ref="AH284" si="108">SUM(AH269:AH283)</f>
        <v>0</v>
      </c>
      <c r="AI284" s="23">
        <f t="shared" ref="AI284" si="109">SUM(AI269:AI283)</f>
        <v>0</v>
      </c>
      <c r="AJ284" s="23"/>
      <c r="AK284" s="23"/>
      <c r="AL284" s="23">
        <f t="shared" ref="AL284" si="110">SUM(AL269:AL283)</f>
        <v>0</v>
      </c>
      <c r="AM284" s="23">
        <f t="shared" ref="AM284" si="111">SUM(AM269:AM283)</f>
        <v>0</v>
      </c>
      <c r="AN284" s="23"/>
      <c r="AO284" s="23"/>
      <c r="AP284" s="23">
        <f t="shared" ref="AP284:AT284" si="112">SUM(AP269:AP283)</f>
        <v>0</v>
      </c>
      <c r="AQ284" s="23">
        <f t="shared" si="112"/>
        <v>0</v>
      </c>
      <c r="AR284" s="23"/>
      <c r="AS284" s="23"/>
      <c r="AT284" s="23">
        <f t="shared" si="112"/>
        <v>0</v>
      </c>
      <c r="AU284" s="23">
        <f>SUM(AU269:AU283)</f>
        <v>6</v>
      </c>
      <c r="AV284" s="23">
        <f>SUM(AV269:AV283)</f>
        <v>490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 spans="1:72" s="11" customFormat="1" ht="28" x14ac:dyDescent="0.15">
      <c r="A285" s="45">
        <v>20</v>
      </c>
      <c r="B285" s="42" t="s">
        <v>39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1</v>
      </c>
      <c r="X285" s="29" t="s">
        <v>75</v>
      </c>
      <c r="Y285" s="9" t="s">
        <v>62</v>
      </c>
      <c r="Z285" s="9">
        <v>80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17">
        <v>0</v>
      </c>
      <c r="AR285" s="9">
        <v>0</v>
      </c>
      <c r="AS285" s="9">
        <v>0</v>
      </c>
      <c r="AT285" s="17">
        <v>0</v>
      </c>
      <c r="AU285" s="9">
        <f t="shared" si="92"/>
        <v>1</v>
      </c>
      <c r="AV285" s="9">
        <f t="shared" si="93"/>
        <v>80</v>
      </c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</row>
    <row r="286" spans="1:72" s="11" customFormat="1" ht="28" x14ac:dyDescent="0.15">
      <c r="A286" s="46"/>
      <c r="B286" s="43"/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2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1</v>
      </c>
      <c r="AN286" s="29" t="s">
        <v>76</v>
      </c>
      <c r="AO286" s="9" t="s">
        <v>62</v>
      </c>
      <c r="AP286" s="9">
        <v>80</v>
      </c>
      <c r="AQ286" s="17">
        <v>0</v>
      </c>
      <c r="AR286" s="9">
        <v>0</v>
      </c>
      <c r="AS286" s="9">
        <v>0</v>
      </c>
      <c r="AT286" s="17">
        <v>0</v>
      </c>
      <c r="AU286" s="9">
        <f t="shared" si="92"/>
        <v>1</v>
      </c>
      <c r="AV286" s="9">
        <f t="shared" si="93"/>
        <v>80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</row>
    <row r="287" spans="1:72" s="11" customFormat="1" ht="28" x14ac:dyDescent="0.15">
      <c r="A287" s="46"/>
      <c r="B287" s="43"/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1</v>
      </c>
      <c r="X287" s="29" t="s">
        <v>89</v>
      </c>
      <c r="Y287" s="9" t="s">
        <v>70</v>
      </c>
      <c r="Z287" s="9">
        <v>80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17">
        <v>0</v>
      </c>
      <c r="AR287" s="9">
        <v>0</v>
      </c>
      <c r="AS287" s="9">
        <v>0</v>
      </c>
      <c r="AT287" s="17">
        <v>0</v>
      </c>
      <c r="AU287" s="9">
        <f t="shared" si="92"/>
        <v>1</v>
      </c>
      <c r="AV287" s="9">
        <f t="shared" si="93"/>
        <v>80</v>
      </c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</row>
    <row r="288" spans="1:72" s="11" customFormat="1" ht="28" x14ac:dyDescent="0.15">
      <c r="A288" s="46"/>
      <c r="B288" s="43"/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1</v>
      </c>
      <c r="X288" s="29" t="s">
        <v>95</v>
      </c>
      <c r="Y288" s="9" t="s">
        <v>83</v>
      </c>
      <c r="Z288" s="9">
        <v>80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17">
        <v>0</v>
      </c>
      <c r="AR288" s="9">
        <v>0</v>
      </c>
      <c r="AS288" s="9">
        <v>0</v>
      </c>
      <c r="AT288" s="17">
        <v>0</v>
      </c>
      <c r="AU288" s="9">
        <f t="shared" si="92"/>
        <v>1</v>
      </c>
      <c r="AV288" s="9">
        <f t="shared" si="93"/>
        <v>80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</row>
    <row r="289" spans="1:72" s="11" customFormat="1" ht="13" x14ac:dyDescent="0.15">
      <c r="A289" s="46"/>
      <c r="B289" s="43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17">
        <v>0</v>
      </c>
      <c r="AR289" s="9">
        <v>0</v>
      </c>
      <c r="AS289" s="9">
        <v>0</v>
      </c>
      <c r="AT289" s="17">
        <v>0</v>
      </c>
      <c r="AU289" s="9">
        <f t="shared" si="92"/>
        <v>0</v>
      </c>
      <c r="AV289" s="9">
        <f t="shared" si="93"/>
        <v>0</v>
      </c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</row>
    <row r="290" spans="1:72" s="11" customFormat="1" ht="13" x14ac:dyDescent="0.15">
      <c r="A290" s="46"/>
      <c r="B290" s="43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17"/>
      <c r="AR290" s="9"/>
      <c r="AS290" s="9"/>
      <c r="AT290" s="17"/>
      <c r="AU290" s="9"/>
      <c r="AV290" s="9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</row>
    <row r="291" spans="1:72" s="11" customFormat="1" ht="13" x14ac:dyDescent="0.15">
      <c r="A291" s="46"/>
      <c r="B291" s="43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17"/>
      <c r="AR291" s="9"/>
      <c r="AS291" s="9"/>
      <c r="AT291" s="17"/>
      <c r="AU291" s="9"/>
      <c r="AV291" s="9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</row>
    <row r="292" spans="1:72" s="11" customFormat="1" ht="13" x14ac:dyDescent="0.15">
      <c r="A292" s="46"/>
      <c r="B292" s="43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17"/>
      <c r="AR292" s="9"/>
      <c r="AS292" s="9"/>
      <c r="AT292" s="17"/>
      <c r="AU292" s="9"/>
      <c r="AV292" s="9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</row>
    <row r="293" spans="1:72" s="11" customFormat="1" ht="13" x14ac:dyDescent="0.15">
      <c r="A293" s="46"/>
      <c r="B293" s="43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17"/>
      <c r="AR293" s="9"/>
      <c r="AS293" s="9"/>
      <c r="AT293" s="17"/>
      <c r="AU293" s="9"/>
      <c r="AV293" s="9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</row>
    <row r="294" spans="1:72" s="11" customFormat="1" ht="13" x14ac:dyDescent="0.15">
      <c r="A294" s="46"/>
      <c r="B294" s="43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17"/>
      <c r="AR294" s="9"/>
      <c r="AS294" s="9"/>
      <c r="AT294" s="17"/>
      <c r="AU294" s="9"/>
      <c r="AV294" s="9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</row>
    <row r="295" spans="1:72" s="11" customFormat="1" ht="13" x14ac:dyDescent="0.15">
      <c r="A295" s="46"/>
      <c r="B295" s="43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17">
        <v>0</v>
      </c>
      <c r="AR295" s="9">
        <v>0</v>
      </c>
      <c r="AS295" s="9">
        <v>0</v>
      </c>
      <c r="AT295" s="17">
        <v>0</v>
      </c>
      <c r="AU295" s="9">
        <f t="shared" si="92"/>
        <v>0</v>
      </c>
      <c r="AV295" s="9">
        <f t="shared" si="93"/>
        <v>0</v>
      </c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</row>
    <row r="296" spans="1:72" s="11" customFormat="1" ht="13" x14ac:dyDescent="0.15">
      <c r="A296" s="46"/>
      <c r="B296" s="43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17">
        <v>0</v>
      </c>
      <c r="AR296" s="9">
        <v>0</v>
      </c>
      <c r="AS296" s="9">
        <v>0</v>
      </c>
      <c r="AT296" s="17">
        <v>0</v>
      </c>
      <c r="AU296" s="9">
        <f t="shared" si="92"/>
        <v>0</v>
      </c>
      <c r="AV296" s="9">
        <f t="shared" si="93"/>
        <v>0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</row>
    <row r="297" spans="1:72" s="11" customFormat="1" ht="13" x14ac:dyDescent="0.15">
      <c r="A297" s="46"/>
      <c r="B297" s="44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17">
        <v>0</v>
      </c>
      <c r="AR297" s="9">
        <v>0</v>
      </c>
      <c r="AS297" s="9">
        <v>0</v>
      </c>
      <c r="AT297" s="17">
        <v>0</v>
      </c>
      <c r="AU297" s="9">
        <f t="shared" si="92"/>
        <v>0</v>
      </c>
      <c r="AV297" s="9">
        <f t="shared" si="93"/>
        <v>0</v>
      </c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</row>
    <row r="298" spans="1:72" s="21" customFormat="1" ht="13" x14ac:dyDescent="0.15">
      <c r="A298" s="47"/>
      <c r="B298" s="22" t="s">
        <v>18</v>
      </c>
      <c r="C298" s="23">
        <f>SUM(C285:C297)</f>
        <v>0</v>
      </c>
      <c r="D298" s="23"/>
      <c r="E298" s="23"/>
      <c r="F298" s="23">
        <f t="shared" ref="F298" si="113">SUM(F285:F297)</f>
        <v>0</v>
      </c>
      <c r="G298" s="23">
        <f t="shared" ref="G298" si="114">SUM(G285:G297)</f>
        <v>0</v>
      </c>
      <c r="H298" s="23"/>
      <c r="I298" s="23"/>
      <c r="J298" s="23">
        <f t="shared" ref="J298" si="115">SUM(J285:J297)</f>
        <v>0</v>
      </c>
      <c r="K298" s="23">
        <f t="shared" ref="K298" si="116">SUM(K285:K297)</f>
        <v>0</v>
      </c>
      <c r="L298" s="23"/>
      <c r="M298" s="23"/>
      <c r="N298" s="23">
        <f t="shared" ref="N298" si="117">SUM(N285:N297)</f>
        <v>0</v>
      </c>
      <c r="O298" s="23">
        <f t="shared" ref="O298" si="118">SUM(O285:O297)</f>
        <v>0</v>
      </c>
      <c r="P298" s="23"/>
      <c r="Q298" s="23"/>
      <c r="R298" s="23">
        <f t="shared" ref="R298" si="119">SUM(R285:R297)</f>
        <v>0</v>
      </c>
      <c r="S298" s="23">
        <f t="shared" ref="S298" si="120">SUM(S285:S297)</f>
        <v>0</v>
      </c>
      <c r="T298" s="23"/>
      <c r="U298" s="23"/>
      <c r="V298" s="23">
        <f t="shared" ref="V298" si="121">SUM(V285:V297)</f>
        <v>0</v>
      </c>
      <c r="W298" s="23">
        <f t="shared" ref="W298" si="122">SUM(W285:W297)</f>
        <v>3</v>
      </c>
      <c r="X298" s="23"/>
      <c r="Y298" s="23"/>
      <c r="Z298" s="23">
        <f t="shared" ref="Z298" si="123">SUM(Z285:Z297)</f>
        <v>240</v>
      </c>
      <c r="AA298" s="23">
        <f t="shared" ref="AA298" si="124">SUM(AA285:AA297)</f>
        <v>0</v>
      </c>
      <c r="AB298" s="23"/>
      <c r="AC298" s="23"/>
      <c r="AD298" s="23">
        <f t="shared" ref="AD298" si="125">SUM(AD285:AD297)</f>
        <v>0</v>
      </c>
      <c r="AE298" s="23">
        <f t="shared" ref="AE298" si="126">SUM(AE285:AE297)</f>
        <v>0</v>
      </c>
      <c r="AF298" s="23"/>
      <c r="AG298" s="23"/>
      <c r="AH298" s="23">
        <f t="shared" ref="AH298" si="127">SUM(AH285:AH297)</f>
        <v>0</v>
      </c>
      <c r="AI298" s="23">
        <f t="shared" ref="AI298" si="128">SUM(AI285:AI297)</f>
        <v>0</v>
      </c>
      <c r="AJ298" s="23"/>
      <c r="AK298" s="23"/>
      <c r="AL298" s="23">
        <f t="shared" ref="AL298" si="129">SUM(AL285:AL297)</f>
        <v>0</v>
      </c>
      <c r="AM298" s="23">
        <f t="shared" ref="AM298" si="130">SUM(AM285:AM297)</f>
        <v>1</v>
      </c>
      <c r="AN298" s="23"/>
      <c r="AO298" s="23"/>
      <c r="AP298" s="23">
        <f t="shared" ref="AP298:AT298" si="131">SUM(AP285:AP297)</f>
        <v>80</v>
      </c>
      <c r="AQ298" s="23">
        <f t="shared" si="131"/>
        <v>0</v>
      </c>
      <c r="AR298" s="23"/>
      <c r="AS298" s="23"/>
      <c r="AT298" s="23">
        <f t="shared" si="131"/>
        <v>0</v>
      </c>
      <c r="AU298" s="23">
        <f>SUM(AU285:AU297)</f>
        <v>4</v>
      </c>
      <c r="AV298" s="23">
        <f>SUM(AV285:AV297)</f>
        <v>320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 spans="1:72" s="11" customFormat="1" ht="26.25" customHeight="1" x14ac:dyDescent="0.15">
      <c r="A299" s="45">
        <v>21</v>
      </c>
      <c r="B299" s="42" t="s">
        <v>40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1</v>
      </c>
      <c r="X299" s="29" t="s">
        <v>61</v>
      </c>
      <c r="Y299" s="9" t="s">
        <v>62</v>
      </c>
      <c r="Z299" s="9">
        <v>80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17">
        <v>0</v>
      </c>
      <c r="AR299" s="9">
        <v>0</v>
      </c>
      <c r="AS299" s="9">
        <v>0</v>
      </c>
      <c r="AT299" s="17">
        <v>0</v>
      </c>
      <c r="AU299" s="9">
        <f t="shared" si="92"/>
        <v>1</v>
      </c>
      <c r="AV299" s="9">
        <f t="shared" si="93"/>
        <v>80</v>
      </c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</row>
    <row r="300" spans="1:72" s="11" customFormat="1" ht="26.25" customHeight="1" x14ac:dyDescent="0.15">
      <c r="A300" s="46"/>
      <c r="B300" s="43"/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1</v>
      </c>
      <c r="X300" s="29" t="s">
        <v>71</v>
      </c>
      <c r="Y300" s="9" t="s">
        <v>72</v>
      </c>
      <c r="Z300" s="9">
        <v>170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17">
        <v>0</v>
      </c>
      <c r="AR300" s="9">
        <v>0</v>
      </c>
      <c r="AS300" s="9">
        <v>0</v>
      </c>
      <c r="AT300" s="17">
        <v>0</v>
      </c>
      <c r="AU300" s="9">
        <f t="shared" si="92"/>
        <v>1</v>
      </c>
      <c r="AV300" s="9">
        <f t="shared" si="93"/>
        <v>170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</row>
    <row r="301" spans="1:72" s="11" customFormat="1" ht="28" x14ac:dyDescent="0.15">
      <c r="A301" s="46"/>
      <c r="B301" s="43"/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1</v>
      </c>
      <c r="T301" s="29" t="s">
        <v>88</v>
      </c>
      <c r="U301" s="9" t="s">
        <v>93</v>
      </c>
      <c r="V301" s="9">
        <v>86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17">
        <v>0</v>
      </c>
      <c r="AR301" s="9">
        <v>0</v>
      </c>
      <c r="AS301" s="9">
        <v>0</v>
      </c>
      <c r="AT301" s="17">
        <v>0</v>
      </c>
      <c r="AU301" s="9">
        <f t="shared" si="92"/>
        <v>1</v>
      </c>
      <c r="AV301" s="9">
        <f t="shared" si="93"/>
        <v>86</v>
      </c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</row>
    <row r="302" spans="1:72" s="11" customFormat="1" ht="28" x14ac:dyDescent="0.15">
      <c r="A302" s="46"/>
      <c r="B302" s="43"/>
      <c r="C302" s="9">
        <v>0</v>
      </c>
      <c r="D302" s="9">
        <v>0</v>
      </c>
      <c r="E302" s="9">
        <v>0</v>
      </c>
      <c r="F302" s="9"/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17">
        <v>1</v>
      </c>
      <c r="AR302" s="37" t="s">
        <v>104</v>
      </c>
      <c r="AS302" s="9" t="s">
        <v>83</v>
      </c>
      <c r="AT302" s="17">
        <v>30</v>
      </c>
      <c r="AU302" s="9">
        <f t="shared" si="92"/>
        <v>1</v>
      </c>
      <c r="AV302" s="9">
        <f t="shared" si="93"/>
        <v>30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</row>
    <row r="303" spans="1:72" s="11" customFormat="1" ht="28.5" customHeight="1" x14ac:dyDescent="0.15">
      <c r="A303" s="46"/>
      <c r="B303" s="43"/>
      <c r="C303" s="9">
        <v>0</v>
      </c>
      <c r="D303" s="9">
        <v>0</v>
      </c>
      <c r="E303" s="9">
        <v>0</v>
      </c>
      <c r="F303" s="9"/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17">
        <v>1</v>
      </c>
      <c r="AR303" s="37" t="s">
        <v>117</v>
      </c>
      <c r="AS303" s="9" t="s">
        <v>83</v>
      </c>
      <c r="AT303" s="17">
        <v>30</v>
      </c>
      <c r="AU303" s="9">
        <f t="shared" ref="AU303" si="132">SUM(C303+G303+K303+O303+S303+W303+AA303+AE303+AI303+AM303+AQ303)</f>
        <v>1</v>
      </c>
      <c r="AV303" s="9">
        <f t="shared" ref="AV303" si="133">SUM(F303+J303+N303+R303+V303+Z303+AD303+AH303+AL303+AP303+AT303)</f>
        <v>30</v>
      </c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</row>
    <row r="304" spans="1:72" s="11" customFormat="1" ht="28" x14ac:dyDescent="0.15">
      <c r="A304" s="46"/>
      <c r="B304" s="43"/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1</v>
      </c>
      <c r="T304" s="29" t="s">
        <v>127</v>
      </c>
      <c r="U304" s="9" t="s">
        <v>128</v>
      </c>
      <c r="V304" s="9">
        <v>40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f t="shared" ref="AU304:AU305" si="134">SUM(C304+G304+K304+O304+S304+W304+AA304+AE304+AI304+AM304+AQ304)</f>
        <v>1</v>
      </c>
      <c r="AV304" s="9">
        <f t="shared" ref="AV304:AV305" si="135">SUM(F304+J304+N304+R304+V304+Z304+AD304+AH304+AL304+AP304+AT304)</f>
        <v>40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</row>
    <row r="305" spans="1:72" s="11" customFormat="1" ht="28" x14ac:dyDescent="0.15">
      <c r="A305" s="46"/>
      <c r="B305" s="43"/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1</v>
      </c>
      <c r="T305" s="29" t="s">
        <v>130</v>
      </c>
      <c r="U305" s="9" t="s">
        <v>128</v>
      </c>
      <c r="V305" s="9">
        <v>40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f t="shared" si="134"/>
        <v>1</v>
      </c>
      <c r="AV305" s="9">
        <f t="shared" si="135"/>
        <v>40</v>
      </c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</row>
    <row r="306" spans="1:72" s="11" customFormat="1" ht="13" x14ac:dyDescent="0.15">
      <c r="A306" s="46"/>
      <c r="B306" s="4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17"/>
      <c r="AR306" s="37"/>
      <c r="AS306" s="9"/>
      <c r="AT306" s="17"/>
      <c r="AU306" s="9">
        <f t="shared" ref="AU306:AU315" si="136">SUM(C306+G306+K306+O306+S306+W306+AA306+AE306+AI306+AM306+AQ306)</f>
        <v>0</v>
      </c>
      <c r="AV306" s="9">
        <f t="shared" ref="AV306:AV315" si="137">SUM(F306+J306+N306+R306+V306+Z306+AD306+AH306+AL306+AP306+AT306)</f>
        <v>0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</row>
    <row r="307" spans="1:72" s="11" customFormat="1" ht="13" x14ac:dyDescent="0.15">
      <c r="A307" s="46"/>
      <c r="B307" s="43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17"/>
      <c r="AR307" s="37"/>
      <c r="AS307" s="9"/>
      <c r="AT307" s="17"/>
      <c r="AU307" s="9">
        <f t="shared" si="136"/>
        <v>0</v>
      </c>
      <c r="AV307" s="9">
        <f t="shared" si="137"/>
        <v>0</v>
      </c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</row>
    <row r="308" spans="1:72" s="11" customFormat="1" ht="13" x14ac:dyDescent="0.15">
      <c r="A308" s="46"/>
      <c r="B308" s="43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17"/>
      <c r="AR308" s="37"/>
      <c r="AS308" s="9"/>
      <c r="AT308" s="17"/>
      <c r="AU308" s="9">
        <f t="shared" si="136"/>
        <v>0</v>
      </c>
      <c r="AV308" s="9">
        <f t="shared" si="137"/>
        <v>0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</row>
    <row r="309" spans="1:72" s="11" customFormat="1" ht="13" x14ac:dyDescent="0.15">
      <c r="A309" s="46"/>
      <c r="B309" s="43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17"/>
      <c r="AR309" s="37"/>
      <c r="AS309" s="9"/>
      <c r="AT309" s="17"/>
      <c r="AU309" s="9">
        <f t="shared" si="136"/>
        <v>0</v>
      </c>
      <c r="AV309" s="9">
        <f t="shared" si="137"/>
        <v>0</v>
      </c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</row>
    <row r="310" spans="1:72" s="11" customFormat="1" ht="13" x14ac:dyDescent="0.15">
      <c r="A310" s="46"/>
      <c r="B310" s="43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17"/>
      <c r="AR310" s="37"/>
      <c r="AS310" s="9"/>
      <c r="AT310" s="17"/>
      <c r="AU310" s="9">
        <f t="shared" si="136"/>
        <v>0</v>
      </c>
      <c r="AV310" s="9">
        <f t="shared" si="137"/>
        <v>0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</row>
    <row r="311" spans="1:72" s="11" customFormat="1" ht="13" x14ac:dyDescent="0.15">
      <c r="A311" s="46"/>
      <c r="B311" s="43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17"/>
      <c r="AR311" s="37"/>
      <c r="AS311" s="9"/>
      <c r="AT311" s="17"/>
      <c r="AU311" s="9">
        <f t="shared" si="136"/>
        <v>0</v>
      </c>
      <c r="AV311" s="9">
        <f t="shared" si="137"/>
        <v>0</v>
      </c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</row>
    <row r="312" spans="1:72" s="11" customFormat="1" ht="13" x14ac:dyDescent="0.15">
      <c r="A312" s="46"/>
      <c r="B312" s="43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17"/>
      <c r="AR312" s="37"/>
      <c r="AS312" s="9"/>
      <c r="AT312" s="17"/>
      <c r="AU312" s="9">
        <f t="shared" si="136"/>
        <v>0</v>
      </c>
      <c r="AV312" s="9">
        <f t="shared" si="137"/>
        <v>0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spans="1:72" s="11" customFormat="1" ht="13" x14ac:dyDescent="0.15">
      <c r="A313" s="46"/>
      <c r="B313" s="43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17"/>
      <c r="AR313" s="37"/>
      <c r="AS313" s="9"/>
      <c r="AT313" s="17"/>
      <c r="AU313" s="9">
        <f t="shared" si="136"/>
        <v>0</v>
      </c>
      <c r="AV313" s="9">
        <f t="shared" si="137"/>
        <v>0</v>
      </c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</row>
    <row r="314" spans="1:72" s="11" customFormat="1" ht="13" x14ac:dyDescent="0.15">
      <c r="A314" s="46"/>
      <c r="B314" s="43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17"/>
      <c r="AR314" s="37"/>
      <c r="AS314" s="9"/>
      <c r="AT314" s="17"/>
      <c r="AU314" s="9">
        <f t="shared" si="136"/>
        <v>0</v>
      </c>
      <c r="AV314" s="9">
        <f t="shared" si="137"/>
        <v>0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</row>
    <row r="315" spans="1:72" s="11" customFormat="1" ht="13" x14ac:dyDescent="0.15">
      <c r="A315" s="46"/>
      <c r="B315" s="44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17">
        <v>0</v>
      </c>
      <c r="AR315" s="9">
        <v>0</v>
      </c>
      <c r="AS315" s="9">
        <v>0</v>
      </c>
      <c r="AT315" s="17">
        <v>0</v>
      </c>
      <c r="AU315" s="9">
        <f t="shared" si="136"/>
        <v>0</v>
      </c>
      <c r="AV315" s="9">
        <f t="shared" si="137"/>
        <v>0</v>
      </c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</row>
    <row r="316" spans="1:72" s="21" customFormat="1" ht="13" x14ac:dyDescent="0.15">
      <c r="A316" s="47"/>
      <c r="B316" s="22" t="s">
        <v>18</v>
      </c>
      <c r="C316" s="23">
        <f>SUM(C299:C315)</f>
        <v>0</v>
      </c>
      <c r="D316" s="23"/>
      <c r="E316" s="23"/>
      <c r="F316" s="23">
        <f t="shared" ref="F316" si="138">SUM(F299:F315)</f>
        <v>0</v>
      </c>
      <c r="G316" s="23">
        <f t="shared" ref="G316" si="139">SUM(G299:G315)</f>
        <v>0</v>
      </c>
      <c r="H316" s="23"/>
      <c r="I316" s="23"/>
      <c r="J316" s="23">
        <f t="shared" ref="J316" si="140">SUM(J299:J315)</f>
        <v>0</v>
      </c>
      <c r="K316" s="23">
        <f t="shared" ref="K316" si="141">SUM(K299:K315)</f>
        <v>0</v>
      </c>
      <c r="L316" s="23"/>
      <c r="M316" s="23"/>
      <c r="N316" s="23">
        <f t="shared" ref="N316" si="142">SUM(N299:N315)</f>
        <v>0</v>
      </c>
      <c r="O316" s="23">
        <f t="shared" ref="O316" si="143">SUM(O299:O315)</f>
        <v>0</v>
      </c>
      <c r="P316" s="23"/>
      <c r="Q316" s="23"/>
      <c r="R316" s="23">
        <f t="shared" ref="R316" si="144">SUM(R299:R315)</f>
        <v>0</v>
      </c>
      <c r="S316" s="23">
        <f t="shared" ref="S316" si="145">SUM(S299:S315)</f>
        <v>3</v>
      </c>
      <c r="T316" s="23"/>
      <c r="U316" s="23"/>
      <c r="V316" s="23">
        <f t="shared" ref="V316" si="146">SUM(V299:V315)</f>
        <v>166</v>
      </c>
      <c r="W316" s="23">
        <f t="shared" ref="W316" si="147">SUM(W299:W315)</f>
        <v>2</v>
      </c>
      <c r="X316" s="23"/>
      <c r="Y316" s="23"/>
      <c r="Z316" s="23">
        <f t="shared" ref="Z316" si="148">SUM(Z299:Z315)</f>
        <v>250</v>
      </c>
      <c r="AA316" s="23">
        <f t="shared" ref="AA316" si="149">SUM(AA299:AA315)</f>
        <v>0</v>
      </c>
      <c r="AB316" s="23"/>
      <c r="AC316" s="23"/>
      <c r="AD316" s="23">
        <f t="shared" ref="AD316" si="150">SUM(AD299:AD315)</f>
        <v>0</v>
      </c>
      <c r="AE316" s="23">
        <f t="shared" ref="AE316" si="151">SUM(AE299:AE315)</f>
        <v>0</v>
      </c>
      <c r="AF316" s="23"/>
      <c r="AG316" s="23"/>
      <c r="AH316" s="23">
        <f t="shared" ref="AH316" si="152">SUM(AH299:AH315)</f>
        <v>0</v>
      </c>
      <c r="AI316" s="23">
        <f t="shared" ref="AI316" si="153">SUM(AI299:AI315)</f>
        <v>0</v>
      </c>
      <c r="AJ316" s="23"/>
      <c r="AK316" s="23"/>
      <c r="AL316" s="23">
        <f t="shared" ref="AL316" si="154">SUM(AL299:AL315)</f>
        <v>0</v>
      </c>
      <c r="AM316" s="23">
        <f t="shared" ref="AM316" si="155">SUM(AM299:AM315)</f>
        <v>0</v>
      </c>
      <c r="AN316" s="23"/>
      <c r="AO316" s="23"/>
      <c r="AP316" s="23">
        <f t="shared" ref="AP316:AT316" si="156">SUM(AP299:AP315)</f>
        <v>0</v>
      </c>
      <c r="AQ316" s="23">
        <f t="shared" si="156"/>
        <v>2</v>
      </c>
      <c r="AR316" s="23"/>
      <c r="AS316" s="23"/>
      <c r="AT316" s="23">
        <f t="shared" si="156"/>
        <v>60</v>
      </c>
      <c r="AU316" s="23">
        <f>SUM(AU299:AU315)</f>
        <v>7</v>
      </c>
      <c r="AV316" s="23">
        <f>SUM(AV299:AV315)</f>
        <v>476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72" s="11" customFormat="1" ht="27" customHeight="1" x14ac:dyDescent="0.15">
      <c r="A317" s="45">
        <v>22</v>
      </c>
      <c r="B317" s="42" t="s">
        <v>41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1</v>
      </c>
      <c r="AN317" s="29" t="s">
        <v>59</v>
      </c>
      <c r="AO317" s="9" t="s">
        <v>60</v>
      </c>
      <c r="AP317" s="9">
        <v>210</v>
      </c>
      <c r="AQ317" s="17">
        <v>0</v>
      </c>
      <c r="AR317" s="9">
        <v>0</v>
      </c>
      <c r="AS317" s="9">
        <v>0</v>
      </c>
      <c r="AT317" s="17">
        <v>0</v>
      </c>
      <c r="AU317" s="9">
        <f t="shared" si="92"/>
        <v>1</v>
      </c>
      <c r="AV317" s="9">
        <f t="shared" si="93"/>
        <v>210</v>
      </c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</row>
    <row r="318" spans="1:72" s="11" customFormat="1" ht="27" customHeight="1" x14ac:dyDescent="0.15">
      <c r="A318" s="46"/>
      <c r="B318" s="43"/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2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1</v>
      </c>
      <c r="AN318" s="29" t="s">
        <v>76</v>
      </c>
      <c r="AO318" s="9" t="s">
        <v>62</v>
      </c>
      <c r="AP318" s="9">
        <v>80</v>
      </c>
      <c r="AQ318" s="17">
        <v>0</v>
      </c>
      <c r="AR318" s="9">
        <v>0</v>
      </c>
      <c r="AS318" s="9">
        <v>0</v>
      </c>
      <c r="AT318" s="17">
        <v>0</v>
      </c>
      <c r="AU318" s="9">
        <f t="shared" si="92"/>
        <v>1</v>
      </c>
      <c r="AV318" s="9">
        <f t="shared" si="93"/>
        <v>80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</row>
    <row r="319" spans="1:72" s="11" customFormat="1" ht="27" customHeight="1" x14ac:dyDescent="0.15">
      <c r="A319" s="46"/>
      <c r="B319" s="43"/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17">
        <v>1</v>
      </c>
      <c r="AR319" s="37" t="s">
        <v>104</v>
      </c>
      <c r="AS319" s="9" t="s">
        <v>83</v>
      </c>
      <c r="AT319" s="17">
        <v>30</v>
      </c>
      <c r="AU319" s="9">
        <f t="shared" si="92"/>
        <v>1</v>
      </c>
      <c r="AV319" s="9">
        <f t="shared" si="93"/>
        <v>30</v>
      </c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</row>
    <row r="320" spans="1:72" s="11" customFormat="1" ht="27" customHeight="1" x14ac:dyDescent="0.15">
      <c r="A320" s="46"/>
      <c r="B320" s="43"/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1</v>
      </c>
      <c r="AF320" s="29" t="s">
        <v>124</v>
      </c>
      <c r="AG320" s="9" t="s">
        <v>86</v>
      </c>
      <c r="AH320" s="9">
        <v>266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17">
        <v>0</v>
      </c>
      <c r="AR320" s="9">
        <v>0</v>
      </c>
      <c r="AS320" s="9">
        <v>0</v>
      </c>
      <c r="AT320" s="17">
        <v>0</v>
      </c>
      <c r="AU320" s="9">
        <f t="shared" si="92"/>
        <v>1</v>
      </c>
      <c r="AV320" s="9">
        <f t="shared" si="93"/>
        <v>266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</row>
    <row r="321" spans="1:72" s="11" customFormat="1" ht="27" customHeight="1" x14ac:dyDescent="0.15">
      <c r="A321" s="46"/>
      <c r="B321" s="43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29"/>
      <c r="AO321" s="9"/>
      <c r="AP321" s="9"/>
      <c r="AQ321" s="17">
        <v>0</v>
      </c>
      <c r="AR321" s="9">
        <v>0</v>
      </c>
      <c r="AS321" s="9">
        <v>0</v>
      </c>
      <c r="AT321" s="17">
        <v>0</v>
      </c>
      <c r="AU321" s="9">
        <f t="shared" si="92"/>
        <v>0</v>
      </c>
      <c r="AV321" s="9">
        <f t="shared" si="93"/>
        <v>0</v>
      </c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</row>
    <row r="322" spans="1:72" s="11" customFormat="1" ht="27" customHeight="1" x14ac:dyDescent="0.15">
      <c r="A322" s="46"/>
      <c r="B322" s="43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29"/>
      <c r="AO322" s="9"/>
      <c r="AP322" s="9"/>
      <c r="AQ322" s="17"/>
      <c r="AR322" s="9"/>
      <c r="AS322" s="9"/>
      <c r="AT322" s="17"/>
      <c r="AU322" s="9"/>
      <c r="AV322" s="9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</row>
    <row r="323" spans="1:72" s="11" customFormat="1" ht="27" customHeight="1" x14ac:dyDescent="0.15">
      <c r="A323" s="46"/>
      <c r="B323" s="43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29"/>
      <c r="AO323" s="9"/>
      <c r="AP323" s="9"/>
      <c r="AQ323" s="17"/>
      <c r="AR323" s="9"/>
      <c r="AS323" s="9"/>
      <c r="AT323" s="17"/>
      <c r="AU323" s="9"/>
      <c r="AV323" s="9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</row>
    <row r="324" spans="1:72" s="11" customFormat="1" ht="27" customHeight="1" x14ac:dyDescent="0.15">
      <c r="A324" s="46"/>
      <c r="B324" s="43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29"/>
      <c r="AO324" s="9"/>
      <c r="AP324" s="9"/>
      <c r="AQ324" s="17"/>
      <c r="AR324" s="9"/>
      <c r="AS324" s="9"/>
      <c r="AT324" s="17"/>
      <c r="AU324" s="9"/>
      <c r="AV324" s="9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</row>
    <row r="325" spans="1:72" s="11" customFormat="1" ht="27" customHeight="1" x14ac:dyDescent="0.15">
      <c r="A325" s="46"/>
      <c r="B325" s="43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29"/>
      <c r="AO325" s="9"/>
      <c r="AP325" s="9"/>
      <c r="AQ325" s="17">
        <v>0</v>
      </c>
      <c r="AR325" s="9">
        <v>0</v>
      </c>
      <c r="AS325" s="9">
        <v>0</v>
      </c>
      <c r="AT325" s="17">
        <v>0</v>
      </c>
      <c r="AU325" s="9">
        <f t="shared" si="92"/>
        <v>0</v>
      </c>
      <c r="AV325" s="9">
        <f t="shared" si="93"/>
        <v>0</v>
      </c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</row>
    <row r="326" spans="1:72" s="11" customFormat="1" ht="13" x14ac:dyDescent="0.15">
      <c r="A326" s="46"/>
      <c r="B326" s="43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17">
        <v>0</v>
      </c>
      <c r="AR326" s="9">
        <v>0</v>
      </c>
      <c r="AS326" s="9">
        <v>0</v>
      </c>
      <c r="AT326" s="17">
        <v>0</v>
      </c>
      <c r="AU326" s="9">
        <f t="shared" si="92"/>
        <v>0</v>
      </c>
      <c r="AV326" s="9">
        <f t="shared" si="93"/>
        <v>0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</row>
    <row r="327" spans="1:72" s="11" customFormat="1" ht="13" x14ac:dyDescent="0.15">
      <c r="A327" s="46"/>
      <c r="B327" s="44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17">
        <v>0</v>
      </c>
      <c r="AR327" s="9">
        <v>0</v>
      </c>
      <c r="AS327" s="9">
        <v>0</v>
      </c>
      <c r="AT327" s="17">
        <v>0</v>
      </c>
      <c r="AU327" s="9">
        <f t="shared" si="92"/>
        <v>0</v>
      </c>
      <c r="AV327" s="9">
        <f t="shared" si="93"/>
        <v>0</v>
      </c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</row>
    <row r="328" spans="1:72" s="21" customFormat="1" ht="13" x14ac:dyDescent="0.15">
      <c r="A328" s="47"/>
      <c r="B328" s="22" t="s">
        <v>18</v>
      </c>
      <c r="C328" s="23">
        <f>SUM(C317:C327)</f>
        <v>0</v>
      </c>
      <c r="D328" s="23"/>
      <c r="E328" s="23"/>
      <c r="F328" s="23">
        <f t="shared" ref="F328:AL328" si="157">SUM(F317:F327)</f>
        <v>0</v>
      </c>
      <c r="G328" s="23">
        <f t="shared" si="157"/>
        <v>0</v>
      </c>
      <c r="H328" s="23"/>
      <c r="I328" s="23"/>
      <c r="J328" s="23">
        <f t="shared" si="157"/>
        <v>0</v>
      </c>
      <c r="K328" s="23">
        <f t="shared" si="157"/>
        <v>0</v>
      </c>
      <c r="L328" s="23"/>
      <c r="M328" s="23"/>
      <c r="N328" s="23">
        <f t="shared" si="157"/>
        <v>0</v>
      </c>
      <c r="O328" s="23">
        <f t="shared" si="157"/>
        <v>0</v>
      </c>
      <c r="P328" s="23"/>
      <c r="Q328" s="23"/>
      <c r="R328" s="23">
        <f t="shared" si="157"/>
        <v>0</v>
      </c>
      <c r="S328" s="23">
        <f t="shared" si="157"/>
        <v>0</v>
      </c>
      <c r="T328" s="23"/>
      <c r="U328" s="23"/>
      <c r="V328" s="23">
        <f t="shared" si="157"/>
        <v>0</v>
      </c>
      <c r="W328" s="23">
        <f t="shared" si="157"/>
        <v>0</v>
      </c>
      <c r="X328" s="23"/>
      <c r="Y328" s="23"/>
      <c r="Z328" s="23">
        <f t="shared" si="157"/>
        <v>0</v>
      </c>
      <c r="AA328" s="23">
        <f t="shared" si="157"/>
        <v>0</v>
      </c>
      <c r="AB328" s="23"/>
      <c r="AC328" s="23"/>
      <c r="AD328" s="23">
        <f t="shared" si="157"/>
        <v>0</v>
      </c>
      <c r="AE328" s="23">
        <f t="shared" si="157"/>
        <v>1</v>
      </c>
      <c r="AF328" s="23"/>
      <c r="AG328" s="23"/>
      <c r="AH328" s="23">
        <f t="shared" si="157"/>
        <v>266</v>
      </c>
      <c r="AI328" s="23">
        <f t="shared" si="157"/>
        <v>0</v>
      </c>
      <c r="AJ328" s="23"/>
      <c r="AK328" s="23"/>
      <c r="AL328" s="23">
        <f t="shared" si="157"/>
        <v>0</v>
      </c>
      <c r="AM328" s="23">
        <f>SUM(AM317:AM327)</f>
        <v>2</v>
      </c>
      <c r="AN328" s="23"/>
      <c r="AO328" s="23"/>
      <c r="AP328" s="23">
        <f>SUM(AP317:AP327)</f>
        <v>290</v>
      </c>
      <c r="AQ328" s="23">
        <f t="shared" ref="AQ328:AT328" si="158">SUM(AQ317:AQ327)</f>
        <v>1</v>
      </c>
      <c r="AR328" s="23"/>
      <c r="AS328" s="23"/>
      <c r="AT328" s="23">
        <f t="shared" si="158"/>
        <v>30</v>
      </c>
      <c r="AU328" s="23">
        <f>SUM(AU317:AU327)</f>
        <v>4</v>
      </c>
      <c r="AV328" s="23">
        <f>SUM(AV317:AV327)</f>
        <v>586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72" s="11" customFormat="1" ht="28" x14ac:dyDescent="0.15">
      <c r="A329" s="45">
        <v>23</v>
      </c>
      <c r="B329" s="42" t="s">
        <v>42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1</v>
      </c>
      <c r="AN329" s="29" t="s">
        <v>110</v>
      </c>
      <c r="AO329" s="9" t="s">
        <v>70</v>
      </c>
      <c r="AP329" s="9">
        <v>160</v>
      </c>
      <c r="AQ329" s="17">
        <v>0</v>
      </c>
      <c r="AR329" s="9">
        <v>0</v>
      </c>
      <c r="AS329" s="9">
        <v>0</v>
      </c>
      <c r="AT329" s="17">
        <v>0</v>
      </c>
      <c r="AU329" s="9">
        <f t="shared" si="92"/>
        <v>1</v>
      </c>
      <c r="AV329" s="9">
        <f t="shared" si="93"/>
        <v>160</v>
      </c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</row>
    <row r="330" spans="1:72" s="11" customFormat="1" ht="28" x14ac:dyDescent="0.15">
      <c r="A330" s="46"/>
      <c r="B330" s="43"/>
      <c r="C330" s="9"/>
      <c r="D330" s="9"/>
      <c r="E330" s="9"/>
      <c r="F330" s="9"/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1</v>
      </c>
      <c r="AN330" s="29" t="s">
        <v>121</v>
      </c>
      <c r="AO330" s="9" t="s">
        <v>62</v>
      </c>
      <c r="AP330" s="9">
        <v>80</v>
      </c>
      <c r="AQ330" s="17">
        <v>0</v>
      </c>
      <c r="AR330" s="9">
        <v>0</v>
      </c>
      <c r="AS330" s="9">
        <v>0</v>
      </c>
      <c r="AT330" s="17">
        <v>0</v>
      </c>
      <c r="AU330" s="9">
        <f t="shared" si="92"/>
        <v>1</v>
      </c>
      <c r="AV330" s="9">
        <f t="shared" si="93"/>
        <v>80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</row>
    <row r="331" spans="1:72" s="11" customFormat="1" ht="13" x14ac:dyDescent="0.15">
      <c r="A331" s="46"/>
      <c r="B331" s="43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17">
        <v>0</v>
      </c>
      <c r="AR331" s="9">
        <v>0</v>
      </c>
      <c r="AS331" s="9">
        <v>0</v>
      </c>
      <c r="AT331" s="17">
        <v>0</v>
      </c>
      <c r="AU331" s="9">
        <f t="shared" si="92"/>
        <v>0</v>
      </c>
      <c r="AV331" s="9">
        <f t="shared" si="93"/>
        <v>0</v>
      </c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</row>
    <row r="332" spans="1:72" s="11" customFormat="1" ht="13" x14ac:dyDescent="0.15">
      <c r="A332" s="46"/>
      <c r="B332" s="43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17">
        <v>0</v>
      </c>
      <c r="AR332" s="9">
        <v>0</v>
      </c>
      <c r="AS332" s="9">
        <v>0</v>
      </c>
      <c r="AT332" s="17">
        <v>0</v>
      </c>
      <c r="AU332" s="9">
        <f t="shared" si="92"/>
        <v>0</v>
      </c>
      <c r="AV332" s="9">
        <f t="shared" si="93"/>
        <v>0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</row>
    <row r="333" spans="1:72" s="11" customFormat="1" ht="13" x14ac:dyDescent="0.15">
      <c r="A333" s="46"/>
      <c r="B333" s="43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17"/>
      <c r="AR333" s="9"/>
      <c r="AS333" s="9"/>
      <c r="AT333" s="17"/>
      <c r="AU333" s="9"/>
      <c r="AV333" s="9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</row>
    <row r="334" spans="1:72" s="11" customFormat="1" ht="13" x14ac:dyDescent="0.15">
      <c r="A334" s="46"/>
      <c r="B334" s="43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17"/>
      <c r="AR334" s="9"/>
      <c r="AS334" s="9"/>
      <c r="AT334" s="17"/>
      <c r="AU334" s="9"/>
      <c r="AV334" s="9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</row>
    <row r="335" spans="1:72" s="11" customFormat="1" ht="13" x14ac:dyDescent="0.15">
      <c r="A335" s="46"/>
      <c r="B335" s="43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17"/>
      <c r="AR335" s="9"/>
      <c r="AS335" s="9"/>
      <c r="AT335" s="17"/>
      <c r="AU335" s="9"/>
      <c r="AV335" s="9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</row>
    <row r="336" spans="1:72" s="11" customFormat="1" ht="13" x14ac:dyDescent="0.15">
      <c r="A336" s="46"/>
      <c r="B336" s="43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17">
        <v>0</v>
      </c>
      <c r="AR336" s="9">
        <v>0</v>
      </c>
      <c r="AS336" s="9">
        <v>0</v>
      </c>
      <c r="AT336" s="17">
        <v>0</v>
      </c>
      <c r="AU336" s="9">
        <f t="shared" si="92"/>
        <v>0</v>
      </c>
      <c r="AV336" s="9">
        <f t="shared" si="93"/>
        <v>0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</row>
    <row r="337" spans="1:72" s="11" customFormat="1" ht="13" x14ac:dyDescent="0.15">
      <c r="A337" s="46"/>
      <c r="B337" s="43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17">
        <v>0</v>
      </c>
      <c r="AR337" s="9">
        <v>0</v>
      </c>
      <c r="AS337" s="9">
        <v>0</v>
      </c>
      <c r="AT337" s="17">
        <v>0</v>
      </c>
      <c r="AU337" s="9">
        <f t="shared" si="92"/>
        <v>0</v>
      </c>
      <c r="AV337" s="9">
        <f t="shared" si="93"/>
        <v>0</v>
      </c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</row>
    <row r="338" spans="1:72" s="11" customFormat="1" ht="13" x14ac:dyDescent="0.15">
      <c r="A338" s="46"/>
      <c r="B338" s="44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17">
        <v>0</v>
      </c>
      <c r="AR338" s="9">
        <v>0</v>
      </c>
      <c r="AS338" s="9">
        <v>0</v>
      </c>
      <c r="AT338" s="17">
        <v>0</v>
      </c>
      <c r="AU338" s="9">
        <f t="shared" si="92"/>
        <v>0</v>
      </c>
      <c r="AV338" s="9">
        <f t="shared" si="93"/>
        <v>0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</row>
    <row r="339" spans="1:72" s="21" customFormat="1" ht="13" x14ac:dyDescent="0.15">
      <c r="A339" s="47"/>
      <c r="B339" s="22" t="s">
        <v>18</v>
      </c>
      <c r="C339" s="23">
        <f>SUM(C329:C338)</f>
        <v>0</v>
      </c>
      <c r="D339" s="23"/>
      <c r="E339" s="23"/>
      <c r="F339" s="23">
        <f t="shared" ref="F339" si="159">SUM(F329:F338)</f>
        <v>0</v>
      </c>
      <c r="G339" s="23">
        <f t="shared" ref="G339" si="160">SUM(G329:G338)</f>
        <v>0</v>
      </c>
      <c r="H339" s="23"/>
      <c r="I339" s="23"/>
      <c r="J339" s="23">
        <f t="shared" ref="J339" si="161">SUM(J329:J338)</f>
        <v>0</v>
      </c>
      <c r="K339" s="23">
        <f t="shared" ref="K339" si="162">SUM(K329:K338)</f>
        <v>0</v>
      </c>
      <c r="L339" s="23"/>
      <c r="M339" s="23"/>
      <c r="N339" s="23">
        <f t="shared" ref="N339" si="163">SUM(N329:N338)</f>
        <v>0</v>
      </c>
      <c r="O339" s="23">
        <f t="shared" ref="O339" si="164">SUM(O329:O338)</f>
        <v>0</v>
      </c>
      <c r="P339" s="23"/>
      <c r="Q339" s="23"/>
      <c r="R339" s="23">
        <f t="shared" ref="R339" si="165">SUM(R329:R338)</f>
        <v>0</v>
      </c>
      <c r="S339" s="23">
        <f t="shared" ref="S339" si="166">SUM(S329:S338)</f>
        <v>0</v>
      </c>
      <c r="T339" s="23"/>
      <c r="U339" s="23"/>
      <c r="V339" s="23">
        <f t="shared" ref="V339" si="167">SUM(V329:V338)</f>
        <v>0</v>
      </c>
      <c r="W339" s="23">
        <f t="shared" ref="W339" si="168">SUM(W329:W338)</f>
        <v>0</v>
      </c>
      <c r="X339" s="23"/>
      <c r="Y339" s="23"/>
      <c r="Z339" s="23">
        <f t="shared" ref="Z339" si="169">SUM(Z329:Z338)</f>
        <v>0</v>
      </c>
      <c r="AA339" s="23">
        <f t="shared" ref="AA339" si="170">SUM(AA329:AA338)</f>
        <v>0</v>
      </c>
      <c r="AB339" s="23"/>
      <c r="AC339" s="23"/>
      <c r="AD339" s="23">
        <f t="shared" ref="AD339" si="171">SUM(AD329:AD338)</f>
        <v>0</v>
      </c>
      <c r="AE339" s="23">
        <f t="shared" ref="AE339" si="172">SUM(AE329:AE338)</f>
        <v>0</v>
      </c>
      <c r="AF339" s="23"/>
      <c r="AG339" s="23"/>
      <c r="AH339" s="23">
        <f t="shared" ref="AH339" si="173">SUM(AH329:AH338)</f>
        <v>0</v>
      </c>
      <c r="AI339" s="23">
        <f t="shared" ref="AI339" si="174">SUM(AI329:AI338)</f>
        <v>0</v>
      </c>
      <c r="AJ339" s="23"/>
      <c r="AK339" s="23"/>
      <c r="AL339" s="23">
        <f t="shared" ref="AL339" si="175">SUM(AL329:AL338)</f>
        <v>0</v>
      </c>
      <c r="AM339" s="23">
        <f t="shared" ref="AM339" si="176">SUM(AM329:AM338)</f>
        <v>2</v>
      </c>
      <c r="AN339" s="23"/>
      <c r="AO339" s="23"/>
      <c r="AP339" s="23">
        <f t="shared" ref="AP339:AT339" si="177">SUM(AP329:AP338)</f>
        <v>240</v>
      </c>
      <c r="AQ339" s="23">
        <f t="shared" si="177"/>
        <v>0</v>
      </c>
      <c r="AR339" s="23"/>
      <c r="AS339" s="23"/>
      <c r="AT339" s="23">
        <f t="shared" si="177"/>
        <v>0</v>
      </c>
      <c r="AU339" s="23">
        <f>SUM(AU329:AU338)</f>
        <v>2</v>
      </c>
      <c r="AV339" s="23">
        <f>SUM(AV329:AV338)</f>
        <v>240</v>
      </c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72" s="11" customFormat="1" ht="28" x14ac:dyDescent="0.15">
      <c r="A340" s="45">
        <v>24</v>
      </c>
      <c r="B340" s="42" t="s">
        <v>43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1</v>
      </c>
      <c r="T340" s="29" t="s">
        <v>96</v>
      </c>
      <c r="U340" s="9" t="s">
        <v>97</v>
      </c>
      <c r="V340" s="9">
        <v>40</v>
      </c>
      <c r="W340" s="9">
        <v>0</v>
      </c>
      <c r="X340" s="2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17">
        <v>0</v>
      </c>
      <c r="AR340" s="9">
        <v>0</v>
      </c>
      <c r="AS340" s="9">
        <v>0</v>
      </c>
      <c r="AT340" s="17">
        <v>0</v>
      </c>
      <c r="AU340" s="9">
        <f t="shared" si="92"/>
        <v>1</v>
      </c>
      <c r="AV340" s="9">
        <f t="shared" si="93"/>
        <v>40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</row>
    <row r="341" spans="1:72" s="11" customFormat="1" ht="28" x14ac:dyDescent="0.15">
      <c r="A341" s="46"/>
      <c r="B341" s="43"/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1</v>
      </c>
      <c r="X341" s="29" t="s">
        <v>95</v>
      </c>
      <c r="Y341" s="9" t="s">
        <v>62</v>
      </c>
      <c r="Z341" s="9">
        <v>80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17">
        <v>0</v>
      </c>
      <c r="AR341" s="9">
        <v>0</v>
      </c>
      <c r="AS341" s="9">
        <v>0</v>
      </c>
      <c r="AT341" s="17">
        <v>0</v>
      </c>
      <c r="AU341" s="9">
        <f t="shared" si="92"/>
        <v>1</v>
      </c>
      <c r="AV341" s="9">
        <f t="shared" si="93"/>
        <v>80</v>
      </c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</row>
    <row r="342" spans="1:72" s="11" customFormat="1" ht="13" x14ac:dyDescent="0.15">
      <c r="A342" s="46"/>
      <c r="B342" s="43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17">
        <v>0</v>
      </c>
      <c r="AR342" s="9">
        <v>0</v>
      </c>
      <c r="AS342" s="9">
        <v>0</v>
      </c>
      <c r="AT342" s="17">
        <v>0</v>
      </c>
      <c r="AU342" s="9">
        <f t="shared" si="92"/>
        <v>0</v>
      </c>
      <c r="AV342" s="9">
        <f t="shared" si="93"/>
        <v>0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</row>
    <row r="343" spans="1:72" s="11" customFormat="1" ht="13" x14ac:dyDescent="0.15">
      <c r="A343" s="46"/>
      <c r="B343" s="43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17"/>
      <c r="AR343" s="9"/>
      <c r="AS343" s="9"/>
      <c r="AT343" s="17"/>
      <c r="AU343" s="9"/>
      <c r="AV343" s="9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</row>
    <row r="344" spans="1:72" s="11" customFormat="1" ht="13" x14ac:dyDescent="0.15">
      <c r="A344" s="46"/>
      <c r="B344" s="43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17"/>
      <c r="AR344" s="9"/>
      <c r="AS344" s="9"/>
      <c r="AT344" s="17"/>
      <c r="AU344" s="9"/>
      <c r="AV344" s="9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</row>
    <row r="345" spans="1:72" s="11" customFormat="1" ht="13" x14ac:dyDescent="0.15">
      <c r="A345" s="46"/>
      <c r="B345" s="43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17"/>
      <c r="AR345" s="9"/>
      <c r="AS345" s="9"/>
      <c r="AT345" s="17"/>
      <c r="AU345" s="9"/>
      <c r="AV345" s="9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</row>
    <row r="346" spans="1:72" s="11" customFormat="1" ht="13" x14ac:dyDescent="0.15">
      <c r="A346" s="46"/>
      <c r="B346" s="43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17">
        <v>0</v>
      </c>
      <c r="AR346" s="9">
        <v>0</v>
      </c>
      <c r="AS346" s="9">
        <v>0</v>
      </c>
      <c r="AT346" s="17">
        <v>0</v>
      </c>
      <c r="AU346" s="9">
        <f t="shared" si="92"/>
        <v>0</v>
      </c>
      <c r="AV346" s="9">
        <f t="shared" si="93"/>
        <v>0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</row>
    <row r="347" spans="1:72" s="11" customFormat="1" ht="13" x14ac:dyDescent="0.15">
      <c r="A347" s="46"/>
      <c r="B347" s="43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17">
        <v>0</v>
      </c>
      <c r="AR347" s="9">
        <v>0</v>
      </c>
      <c r="AS347" s="9">
        <v>0</v>
      </c>
      <c r="AT347" s="17">
        <v>0</v>
      </c>
      <c r="AU347" s="9">
        <f t="shared" si="92"/>
        <v>0</v>
      </c>
      <c r="AV347" s="9">
        <f t="shared" si="93"/>
        <v>0</v>
      </c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</row>
    <row r="348" spans="1:72" s="11" customFormat="1" ht="13" x14ac:dyDescent="0.15">
      <c r="A348" s="46"/>
      <c r="B348" s="43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17">
        <v>0</v>
      </c>
      <c r="AR348" s="9">
        <v>0</v>
      </c>
      <c r="AS348" s="9">
        <v>0</v>
      </c>
      <c r="AT348" s="17">
        <v>0</v>
      </c>
      <c r="AU348" s="9">
        <f t="shared" si="92"/>
        <v>0</v>
      </c>
      <c r="AV348" s="9">
        <f t="shared" si="93"/>
        <v>0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</row>
    <row r="349" spans="1:72" s="11" customFormat="1" ht="13" x14ac:dyDescent="0.15">
      <c r="A349" s="46"/>
      <c r="B349" s="44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17">
        <v>0</v>
      </c>
      <c r="AR349" s="9">
        <v>0</v>
      </c>
      <c r="AS349" s="9">
        <v>0</v>
      </c>
      <c r="AT349" s="17">
        <v>0</v>
      </c>
      <c r="AU349" s="9">
        <f t="shared" si="92"/>
        <v>0</v>
      </c>
      <c r="AV349" s="9">
        <f t="shared" si="93"/>
        <v>0</v>
      </c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</row>
    <row r="350" spans="1:72" s="21" customFormat="1" ht="13" x14ac:dyDescent="0.15">
      <c r="A350" s="47"/>
      <c r="B350" s="22" t="s">
        <v>18</v>
      </c>
      <c r="C350" s="23">
        <f>SUM(C340:C349)</f>
        <v>0</v>
      </c>
      <c r="D350" s="23"/>
      <c r="E350" s="23"/>
      <c r="F350" s="23">
        <f t="shared" ref="F350" si="178">SUM(F340:F349)</f>
        <v>0</v>
      </c>
      <c r="G350" s="23">
        <f t="shared" ref="G350" si="179">SUM(G340:G349)</f>
        <v>0</v>
      </c>
      <c r="H350" s="23"/>
      <c r="I350" s="23"/>
      <c r="J350" s="23">
        <f t="shared" ref="J350" si="180">SUM(J340:J349)</f>
        <v>0</v>
      </c>
      <c r="K350" s="23">
        <f t="shared" ref="K350" si="181">SUM(K340:K349)</f>
        <v>0</v>
      </c>
      <c r="L350" s="23"/>
      <c r="M350" s="23"/>
      <c r="N350" s="23">
        <f t="shared" ref="N350" si="182">SUM(N340:N349)</f>
        <v>0</v>
      </c>
      <c r="O350" s="23">
        <f t="shared" ref="O350" si="183">SUM(O340:O349)</f>
        <v>0</v>
      </c>
      <c r="P350" s="23"/>
      <c r="Q350" s="23"/>
      <c r="R350" s="23">
        <f t="shared" ref="R350" si="184">SUM(R340:R349)</f>
        <v>0</v>
      </c>
      <c r="S350" s="23">
        <f t="shared" ref="S350" si="185">SUM(S340:S349)</f>
        <v>1</v>
      </c>
      <c r="T350" s="23"/>
      <c r="U350" s="23"/>
      <c r="V350" s="23">
        <f t="shared" ref="V350" si="186">SUM(V340:V349)</f>
        <v>40</v>
      </c>
      <c r="W350" s="23">
        <f t="shared" ref="W350" si="187">SUM(W340:W349)</f>
        <v>1</v>
      </c>
      <c r="X350" s="23"/>
      <c r="Y350" s="23"/>
      <c r="Z350" s="23">
        <f t="shared" ref="Z350" si="188">SUM(Z340:Z349)</f>
        <v>80</v>
      </c>
      <c r="AA350" s="23">
        <f t="shared" ref="AA350" si="189">SUM(AA340:AA349)</f>
        <v>0</v>
      </c>
      <c r="AB350" s="23"/>
      <c r="AC350" s="23"/>
      <c r="AD350" s="23">
        <f t="shared" ref="AD350" si="190">SUM(AD340:AD349)</f>
        <v>0</v>
      </c>
      <c r="AE350" s="23">
        <f t="shared" ref="AE350" si="191">SUM(AE340:AE349)</f>
        <v>0</v>
      </c>
      <c r="AF350" s="23"/>
      <c r="AG350" s="23"/>
      <c r="AH350" s="23">
        <f t="shared" ref="AH350" si="192">SUM(AH340:AH349)</f>
        <v>0</v>
      </c>
      <c r="AI350" s="23">
        <f t="shared" ref="AI350" si="193">SUM(AI340:AI349)</f>
        <v>0</v>
      </c>
      <c r="AJ350" s="23"/>
      <c r="AK350" s="23"/>
      <c r="AL350" s="23">
        <f t="shared" ref="AL350" si="194">SUM(AL340:AL349)</f>
        <v>0</v>
      </c>
      <c r="AM350" s="23">
        <f t="shared" ref="AM350" si="195">SUM(AM340:AM349)</f>
        <v>0</v>
      </c>
      <c r="AN350" s="23"/>
      <c r="AO350" s="23"/>
      <c r="AP350" s="23">
        <f t="shared" ref="AP350:AT350" si="196">SUM(AP340:AP349)</f>
        <v>0</v>
      </c>
      <c r="AQ350" s="23">
        <f t="shared" si="196"/>
        <v>0</v>
      </c>
      <c r="AR350" s="23"/>
      <c r="AS350" s="23"/>
      <c r="AT350" s="23">
        <f t="shared" si="196"/>
        <v>0</v>
      </c>
      <c r="AU350" s="23">
        <f>SUM(AU340:AU349)</f>
        <v>2</v>
      </c>
      <c r="AV350" s="23">
        <f>SUM(AV340:AV349)</f>
        <v>120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72" s="11" customFormat="1" ht="28" x14ac:dyDescent="0.15">
      <c r="A351" s="45">
        <v>25</v>
      </c>
      <c r="B351" s="42" t="s">
        <v>44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1</v>
      </c>
      <c r="T351" s="29" t="s">
        <v>75</v>
      </c>
      <c r="U351" s="9" t="s">
        <v>72</v>
      </c>
      <c r="V351" s="9">
        <v>160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17">
        <v>0</v>
      </c>
      <c r="AR351" s="9">
        <v>0</v>
      </c>
      <c r="AS351" s="9">
        <v>0</v>
      </c>
      <c r="AT351" s="17">
        <v>0</v>
      </c>
      <c r="AU351" s="9">
        <f t="shared" si="92"/>
        <v>1</v>
      </c>
      <c r="AV351" s="9">
        <f t="shared" si="93"/>
        <v>160</v>
      </c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</row>
    <row r="352" spans="1:72" s="11" customFormat="1" ht="28" x14ac:dyDescent="0.15">
      <c r="A352" s="46"/>
      <c r="B352" s="43"/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1</v>
      </c>
      <c r="AN352" s="29" t="s">
        <v>82</v>
      </c>
      <c r="AO352" s="9" t="s">
        <v>81</v>
      </c>
      <c r="AP352" s="9">
        <v>160</v>
      </c>
      <c r="AQ352" s="17">
        <v>0</v>
      </c>
      <c r="AR352" s="9">
        <v>0</v>
      </c>
      <c r="AS352" s="9">
        <v>0</v>
      </c>
      <c r="AT352" s="17">
        <v>0</v>
      </c>
      <c r="AU352" s="9">
        <f t="shared" si="92"/>
        <v>1</v>
      </c>
      <c r="AV352" s="9">
        <f t="shared" si="93"/>
        <v>160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</row>
    <row r="353" spans="1:72" s="11" customFormat="1" ht="13" x14ac:dyDescent="0.15">
      <c r="A353" s="46"/>
      <c r="B353" s="43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17">
        <v>0</v>
      </c>
      <c r="AR353" s="9">
        <v>0</v>
      </c>
      <c r="AS353" s="9">
        <v>0</v>
      </c>
      <c r="AT353" s="17">
        <v>0</v>
      </c>
      <c r="AU353" s="9">
        <f t="shared" si="92"/>
        <v>0</v>
      </c>
      <c r="AV353" s="9">
        <f t="shared" si="93"/>
        <v>0</v>
      </c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</row>
    <row r="354" spans="1:72" s="11" customFormat="1" ht="13" x14ac:dyDescent="0.15">
      <c r="A354" s="46"/>
      <c r="B354" s="43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17"/>
      <c r="AR354" s="9"/>
      <c r="AS354" s="9"/>
      <c r="AT354" s="17"/>
      <c r="AU354" s="9"/>
      <c r="AV354" s="9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</row>
    <row r="355" spans="1:72" s="11" customFormat="1" ht="13" x14ac:dyDescent="0.15">
      <c r="A355" s="46"/>
      <c r="B355" s="43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17"/>
      <c r="AR355" s="9"/>
      <c r="AS355" s="9"/>
      <c r="AT355" s="17"/>
      <c r="AU355" s="9"/>
      <c r="AV355" s="9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</row>
    <row r="356" spans="1:72" s="11" customFormat="1" ht="13" x14ac:dyDescent="0.15">
      <c r="A356" s="46"/>
      <c r="B356" s="43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17">
        <v>0</v>
      </c>
      <c r="AR356" s="9">
        <v>0</v>
      </c>
      <c r="AS356" s="9">
        <v>0</v>
      </c>
      <c r="AT356" s="17">
        <v>0</v>
      </c>
      <c r="AU356" s="9">
        <f t="shared" si="92"/>
        <v>0</v>
      </c>
      <c r="AV356" s="9">
        <f t="shared" si="93"/>
        <v>0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</row>
    <row r="357" spans="1:72" s="11" customFormat="1" ht="13" x14ac:dyDescent="0.15">
      <c r="A357" s="46"/>
      <c r="B357" s="43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17">
        <v>0</v>
      </c>
      <c r="AR357" s="9">
        <v>0</v>
      </c>
      <c r="AS357" s="9">
        <v>0</v>
      </c>
      <c r="AT357" s="17">
        <v>0</v>
      </c>
      <c r="AU357" s="9">
        <f t="shared" si="92"/>
        <v>0</v>
      </c>
      <c r="AV357" s="9">
        <f t="shared" si="93"/>
        <v>0</v>
      </c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</row>
    <row r="358" spans="1:72" s="11" customFormat="1" ht="13" x14ac:dyDescent="0.15">
      <c r="A358" s="46"/>
      <c r="B358" s="43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17">
        <v>0</v>
      </c>
      <c r="AR358" s="9">
        <v>0</v>
      </c>
      <c r="AS358" s="9">
        <v>0</v>
      </c>
      <c r="AT358" s="17">
        <v>0</v>
      </c>
      <c r="AU358" s="9">
        <f t="shared" si="92"/>
        <v>0</v>
      </c>
      <c r="AV358" s="9">
        <f t="shared" si="93"/>
        <v>0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</row>
    <row r="359" spans="1:72" s="11" customFormat="1" ht="13" x14ac:dyDescent="0.15">
      <c r="A359" s="46"/>
      <c r="B359" s="44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17">
        <v>0</v>
      </c>
      <c r="AR359" s="9">
        <v>0</v>
      </c>
      <c r="AS359" s="9">
        <v>0</v>
      </c>
      <c r="AT359" s="17">
        <v>0</v>
      </c>
      <c r="AU359" s="9">
        <f t="shared" si="92"/>
        <v>0</v>
      </c>
      <c r="AV359" s="9">
        <f t="shared" si="93"/>
        <v>0</v>
      </c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</row>
    <row r="360" spans="1:72" s="21" customFormat="1" ht="13" x14ac:dyDescent="0.15">
      <c r="A360" s="47"/>
      <c r="B360" s="22" t="s">
        <v>18</v>
      </c>
      <c r="C360" s="23">
        <f>SUM(C351:C359)</f>
        <v>0</v>
      </c>
      <c r="D360" s="23"/>
      <c r="E360" s="23"/>
      <c r="F360" s="23">
        <f t="shared" ref="F360" si="197">SUM(F351:F359)</f>
        <v>0</v>
      </c>
      <c r="G360" s="23">
        <f t="shared" ref="G360" si="198">SUM(G351:G359)</f>
        <v>0</v>
      </c>
      <c r="H360" s="23"/>
      <c r="I360" s="23"/>
      <c r="J360" s="23">
        <f t="shared" ref="J360" si="199">SUM(J351:J359)</f>
        <v>0</v>
      </c>
      <c r="K360" s="23">
        <f t="shared" ref="K360" si="200">SUM(K351:K359)</f>
        <v>0</v>
      </c>
      <c r="L360" s="23"/>
      <c r="M360" s="23"/>
      <c r="N360" s="23">
        <f t="shared" ref="N360" si="201">SUM(N351:N359)</f>
        <v>0</v>
      </c>
      <c r="O360" s="23">
        <f t="shared" ref="O360" si="202">SUM(O351:O359)</f>
        <v>0</v>
      </c>
      <c r="P360" s="23"/>
      <c r="Q360" s="23"/>
      <c r="R360" s="23">
        <f t="shared" ref="R360" si="203">SUM(R351:R359)</f>
        <v>0</v>
      </c>
      <c r="S360" s="23">
        <f t="shared" ref="S360" si="204">SUM(S351:S359)</f>
        <v>1</v>
      </c>
      <c r="T360" s="23"/>
      <c r="U360" s="23"/>
      <c r="V360" s="23">
        <f t="shared" ref="V360" si="205">SUM(V351:V359)</f>
        <v>160</v>
      </c>
      <c r="W360" s="23">
        <f t="shared" ref="W360" si="206">SUM(W351:W359)</f>
        <v>0</v>
      </c>
      <c r="X360" s="23"/>
      <c r="Y360" s="23"/>
      <c r="Z360" s="23">
        <f t="shared" ref="Z360" si="207">SUM(Z351:Z359)</f>
        <v>0</v>
      </c>
      <c r="AA360" s="23">
        <f t="shared" ref="AA360" si="208">SUM(AA351:AA359)</f>
        <v>0</v>
      </c>
      <c r="AB360" s="23"/>
      <c r="AC360" s="23"/>
      <c r="AD360" s="23">
        <f t="shared" ref="AD360" si="209">SUM(AD351:AD359)</f>
        <v>0</v>
      </c>
      <c r="AE360" s="23">
        <f t="shared" ref="AE360" si="210">SUM(AE351:AE359)</f>
        <v>0</v>
      </c>
      <c r="AF360" s="23"/>
      <c r="AG360" s="23"/>
      <c r="AH360" s="23">
        <f t="shared" ref="AH360" si="211">SUM(AH351:AH359)</f>
        <v>0</v>
      </c>
      <c r="AI360" s="23">
        <f t="shared" ref="AI360" si="212">SUM(AI351:AI359)</f>
        <v>0</v>
      </c>
      <c r="AJ360" s="23"/>
      <c r="AK360" s="23"/>
      <c r="AL360" s="23">
        <f t="shared" ref="AL360" si="213">SUM(AL351:AL359)</f>
        <v>0</v>
      </c>
      <c r="AM360" s="23">
        <f t="shared" ref="AM360" si="214">SUM(AM351:AM359)</f>
        <v>1</v>
      </c>
      <c r="AN360" s="23"/>
      <c r="AO360" s="23"/>
      <c r="AP360" s="23">
        <f t="shared" ref="AP360:AT360" si="215">SUM(AP351:AP359)</f>
        <v>160</v>
      </c>
      <c r="AQ360" s="23">
        <f t="shared" si="215"/>
        <v>0</v>
      </c>
      <c r="AR360" s="23"/>
      <c r="AS360" s="23"/>
      <c r="AT360" s="23">
        <f t="shared" si="215"/>
        <v>0</v>
      </c>
      <c r="AU360" s="23">
        <f>SUM(AU351:AU359)</f>
        <v>2</v>
      </c>
      <c r="AV360" s="23">
        <f>SUM(AV351:AV359)</f>
        <v>320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72" s="14" customFormat="1" ht="28" x14ac:dyDescent="0.15">
      <c r="A361" s="45">
        <v>26</v>
      </c>
      <c r="B361" s="42" t="s">
        <v>45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1</v>
      </c>
      <c r="X361" s="29" t="s">
        <v>69</v>
      </c>
      <c r="Y361" s="9" t="s">
        <v>70</v>
      </c>
      <c r="Z361" s="9">
        <v>160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17">
        <v>0</v>
      </c>
      <c r="AR361" s="9">
        <v>0</v>
      </c>
      <c r="AS361" s="9">
        <v>0</v>
      </c>
      <c r="AT361" s="17">
        <v>0</v>
      </c>
      <c r="AU361" s="9">
        <f t="shared" si="92"/>
        <v>1</v>
      </c>
      <c r="AV361" s="9">
        <f t="shared" si="93"/>
        <v>160</v>
      </c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spans="1:72" s="14" customFormat="1" ht="28" x14ac:dyDescent="0.15">
      <c r="A362" s="46"/>
      <c r="B362" s="43"/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1</v>
      </c>
      <c r="AN362" s="29" t="s">
        <v>68</v>
      </c>
      <c r="AO362" s="9" t="s">
        <v>60</v>
      </c>
      <c r="AP362" s="9">
        <v>210</v>
      </c>
      <c r="AQ362" s="17">
        <v>0</v>
      </c>
      <c r="AR362" s="9">
        <v>0</v>
      </c>
      <c r="AS362" s="9">
        <v>0</v>
      </c>
      <c r="AT362" s="17">
        <v>0</v>
      </c>
      <c r="AU362" s="9">
        <f t="shared" si="92"/>
        <v>1</v>
      </c>
      <c r="AV362" s="9">
        <f t="shared" si="93"/>
        <v>210</v>
      </c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spans="1:72" s="14" customFormat="1" ht="28" x14ac:dyDescent="0.15">
      <c r="A363" s="46"/>
      <c r="B363" s="43"/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1</v>
      </c>
      <c r="X363" s="29" t="s">
        <v>89</v>
      </c>
      <c r="Y363" s="9" t="s">
        <v>70</v>
      </c>
      <c r="Z363" s="9">
        <v>80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17">
        <v>0</v>
      </c>
      <c r="AR363" s="9">
        <v>0</v>
      </c>
      <c r="AS363" s="9">
        <v>0</v>
      </c>
      <c r="AT363" s="17">
        <v>0</v>
      </c>
      <c r="AU363" s="9">
        <f t="shared" si="92"/>
        <v>1</v>
      </c>
      <c r="AV363" s="9">
        <f t="shared" si="93"/>
        <v>80</v>
      </c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spans="1:72" s="14" customFormat="1" ht="28" x14ac:dyDescent="0.15">
      <c r="A364" s="46"/>
      <c r="B364" s="43"/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1</v>
      </c>
      <c r="X364" s="29" t="s">
        <v>95</v>
      </c>
      <c r="Y364" s="9" t="s">
        <v>83</v>
      </c>
      <c r="Z364" s="9">
        <v>80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17">
        <v>0</v>
      </c>
      <c r="AR364" s="9">
        <v>0</v>
      </c>
      <c r="AS364" s="9">
        <v>0</v>
      </c>
      <c r="AT364" s="17">
        <v>0</v>
      </c>
      <c r="AU364" s="9">
        <f t="shared" si="92"/>
        <v>1</v>
      </c>
      <c r="AV364" s="9">
        <f t="shared" si="93"/>
        <v>80</v>
      </c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spans="1:72" s="14" customFormat="1" ht="28" x14ac:dyDescent="0.15">
      <c r="A365" s="46"/>
      <c r="B365" s="43"/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1</v>
      </c>
      <c r="X365" s="29" t="s">
        <v>108</v>
      </c>
      <c r="Y365" s="9" t="s">
        <v>60</v>
      </c>
      <c r="Z365" s="9">
        <v>210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17">
        <v>0</v>
      </c>
      <c r="AR365" s="9">
        <v>0</v>
      </c>
      <c r="AS365" s="9">
        <v>0</v>
      </c>
      <c r="AT365" s="17">
        <v>0</v>
      </c>
      <c r="AU365" s="9">
        <f t="shared" si="92"/>
        <v>1</v>
      </c>
      <c r="AV365" s="9">
        <f t="shared" si="93"/>
        <v>210</v>
      </c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spans="1:72" s="14" customFormat="1" ht="13" x14ac:dyDescent="0.15">
      <c r="A366" s="46"/>
      <c r="B366" s="43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2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17"/>
      <c r="AR366" s="9"/>
      <c r="AS366" s="9"/>
      <c r="AT366" s="17"/>
      <c r="AU366" s="9"/>
      <c r="AV366" s="9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spans="1:72" s="14" customFormat="1" ht="13" x14ac:dyDescent="0.15">
      <c r="A367" s="46"/>
      <c r="B367" s="43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2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17"/>
      <c r="AR367" s="9"/>
      <c r="AS367" s="9"/>
      <c r="AT367" s="17"/>
      <c r="AU367" s="9"/>
      <c r="AV367" s="9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spans="1:72" s="14" customFormat="1" ht="13" x14ac:dyDescent="0.15">
      <c r="A368" s="46"/>
      <c r="B368" s="43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2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17"/>
      <c r="AR368" s="9"/>
      <c r="AS368" s="9"/>
      <c r="AT368" s="17"/>
      <c r="AU368" s="9"/>
      <c r="AV368" s="9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spans="1:72" s="14" customFormat="1" ht="13" x14ac:dyDescent="0.15">
      <c r="A369" s="46"/>
      <c r="B369" s="43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2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17"/>
      <c r="AR369" s="9"/>
      <c r="AS369" s="9"/>
      <c r="AT369" s="17"/>
      <c r="AU369" s="9"/>
      <c r="AV369" s="9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spans="1:72" s="14" customFormat="1" ht="13" x14ac:dyDescent="0.15">
      <c r="A370" s="46"/>
      <c r="B370" s="43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2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17"/>
      <c r="AR370" s="9"/>
      <c r="AS370" s="9"/>
      <c r="AT370" s="17"/>
      <c r="AU370" s="9"/>
      <c r="AV370" s="9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spans="1:72" s="14" customFormat="1" ht="13" x14ac:dyDescent="0.15">
      <c r="A371" s="46"/>
      <c r="B371" s="43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2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17"/>
      <c r="AR371" s="9"/>
      <c r="AS371" s="9"/>
      <c r="AT371" s="17"/>
      <c r="AU371" s="9"/>
      <c r="AV371" s="9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spans="1:72" s="14" customFormat="1" ht="13" x14ac:dyDescent="0.15">
      <c r="A372" s="46"/>
      <c r="B372" s="43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2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17"/>
      <c r="AR372" s="9"/>
      <c r="AS372" s="9"/>
      <c r="AT372" s="17"/>
      <c r="AU372" s="9"/>
      <c r="AV372" s="9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spans="1:72" s="14" customFormat="1" ht="13" x14ac:dyDescent="0.15">
      <c r="A373" s="46"/>
      <c r="B373" s="43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29"/>
      <c r="AO373" s="9"/>
      <c r="AP373" s="9"/>
      <c r="AQ373" s="17">
        <v>0</v>
      </c>
      <c r="AR373" s="9">
        <v>0</v>
      </c>
      <c r="AS373" s="9">
        <v>0</v>
      </c>
      <c r="AT373" s="17">
        <v>0</v>
      </c>
      <c r="AU373" s="9">
        <f t="shared" si="92"/>
        <v>0</v>
      </c>
      <c r="AV373" s="9">
        <f t="shared" si="93"/>
        <v>0</v>
      </c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spans="1:72" s="14" customFormat="1" ht="13" x14ac:dyDescent="0.15">
      <c r="A374" s="46"/>
      <c r="B374" s="43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17">
        <v>0</v>
      </c>
      <c r="AR374" s="9">
        <v>0</v>
      </c>
      <c r="AS374" s="9">
        <v>0</v>
      </c>
      <c r="AT374" s="17">
        <v>0</v>
      </c>
      <c r="AU374" s="9">
        <f t="shared" si="92"/>
        <v>0</v>
      </c>
      <c r="AV374" s="9">
        <f t="shared" si="93"/>
        <v>0</v>
      </c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spans="1:72" s="14" customFormat="1" ht="13" x14ac:dyDescent="0.15">
      <c r="A375" s="46"/>
      <c r="B375" s="44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17">
        <v>0</v>
      </c>
      <c r="AR375" s="9">
        <v>0</v>
      </c>
      <c r="AS375" s="9">
        <v>0</v>
      </c>
      <c r="AT375" s="17">
        <v>0</v>
      </c>
      <c r="AU375" s="9">
        <f t="shared" si="92"/>
        <v>0</v>
      </c>
      <c r="AV375" s="9">
        <f t="shared" si="93"/>
        <v>0</v>
      </c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spans="1:72" s="21" customFormat="1" ht="13" x14ac:dyDescent="0.15">
      <c r="A376" s="47"/>
      <c r="B376" s="22" t="s">
        <v>18</v>
      </c>
      <c r="C376" s="23">
        <f>SUM(C362:C375)</f>
        <v>0</v>
      </c>
      <c r="D376" s="23"/>
      <c r="E376" s="23"/>
      <c r="F376" s="23">
        <f t="shared" ref="F376:AT376" si="216">SUM(F362:F375)</f>
        <v>0</v>
      </c>
      <c r="G376" s="23">
        <f t="shared" si="216"/>
        <v>0</v>
      </c>
      <c r="H376" s="23"/>
      <c r="I376" s="23"/>
      <c r="J376" s="23">
        <f t="shared" si="216"/>
        <v>0</v>
      </c>
      <c r="K376" s="23">
        <f t="shared" si="216"/>
        <v>0</v>
      </c>
      <c r="L376" s="23"/>
      <c r="M376" s="23"/>
      <c r="N376" s="23">
        <f t="shared" si="216"/>
        <v>0</v>
      </c>
      <c r="O376" s="23">
        <f t="shared" si="216"/>
        <v>0</v>
      </c>
      <c r="P376" s="23"/>
      <c r="Q376" s="23"/>
      <c r="R376" s="23">
        <f t="shared" si="216"/>
        <v>0</v>
      </c>
      <c r="S376" s="23">
        <f t="shared" si="216"/>
        <v>0</v>
      </c>
      <c r="T376" s="23"/>
      <c r="U376" s="23"/>
      <c r="V376" s="23">
        <f t="shared" si="216"/>
        <v>0</v>
      </c>
      <c r="W376" s="23">
        <f>SUM(W361:W375)</f>
        <v>4</v>
      </c>
      <c r="X376" s="23"/>
      <c r="Y376" s="23"/>
      <c r="Z376" s="23">
        <f>SUM(Z361:Z375)</f>
        <v>530</v>
      </c>
      <c r="AA376" s="23">
        <f t="shared" si="216"/>
        <v>0</v>
      </c>
      <c r="AB376" s="23"/>
      <c r="AC376" s="23"/>
      <c r="AD376" s="23">
        <f t="shared" si="216"/>
        <v>0</v>
      </c>
      <c r="AE376" s="23">
        <f t="shared" si="216"/>
        <v>0</v>
      </c>
      <c r="AF376" s="23"/>
      <c r="AG376" s="23"/>
      <c r="AH376" s="23">
        <f t="shared" si="216"/>
        <v>0</v>
      </c>
      <c r="AI376" s="23">
        <f t="shared" si="216"/>
        <v>0</v>
      </c>
      <c r="AJ376" s="23"/>
      <c r="AK376" s="23"/>
      <c r="AL376" s="23">
        <f t="shared" si="216"/>
        <v>0</v>
      </c>
      <c r="AM376" s="23">
        <f t="shared" si="216"/>
        <v>1</v>
      </c>
      <c r="AN376" s="23"/>
      <c r="AO376" s="23"/>
      <c r="AP376" s="23">
        <f t="shared" si="216"/>
        <v>210</v>
      </c>
      <c r="AQ376" s="23">
        <f t="shared" si="216"/>
        <v>0</v>
      </c>
      <c r="AR376" s="23"/>
      <c r="AS376" s="23"/>
      <c r="AT376" s="23">
        <f t="shared" si="216"/>
        <v>0</v>
      </c>
      <c r="AU376" s="23">
        <f>SUM(AU361:AU375)</f>
        <v>5</v>
      </c>
      <c r="AV376" s="23">
        <f>SUM(AV361:AV375)</f>
        <v>740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72" s="11" customFormat="1" ht="27" customHeight="1" x14ac:dyDescent="0.15">
      <c r="A377" s="45">
        <v>27</v>
      </c>
      <c r="B377" s="42" t="s">
        <v>46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1</v>
      </c>
      <c r="X377" s="29" t="s">
        <v>63</v>
      </c>
      <c r="Y377" s="9" t="s">
        <v>62</v>
      </c>
      <c r="Z377" s="9">
        <v>80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17">
        <v>0</v>
      </c>
      <c r="AR377" s="9">
        <v>0</v>
      </c>
      <c r="AS377" s="9">
        <v>0</v>
      </c>
      <c r="AT377" s="17">
        <v>0</v>
      </c>
      <c r="AU377" s="9">
        <f t="shared" ref="AU377:AU454" si="217">SUM(C377+G377+K377+O377+S377+W377+AA377+AE377+AI377+AM377+AQ377)</f>
        <v>1</v>
      </c>
      <c r="AV377" s="9">
        <f t="shared" ref="AV377:AV454" si="218">SUM(F377+J377+N377+R377+V377+Z377+AD377+AH377+AL377+AP377+AT377)</f>
        <v>80</v>
      </c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</row>
    <row r="378" spans="1:72" s="11" customFormat="1" ht="27" customHeight="1" x14ac:dyDescent="0.15">
      <c r="A378" s="46"/>
      <c r="B378" s="43"/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1</v>
      </c>
      <c r="X378" s="29" t="s">
        <v>64</v>
      </c>
      <c r="Y378" s="9" t="s">
        <v>62</v>
      </c>
      <c r="Z378" s="9">
        <v>80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17">
        <v>0</v>
      </c>
      <c r="AR378" s="9">
        <v>0</v>
      </c>
      <c r="AS378" s="9">
        <v>0</v>
      </c>
      <c r="AT378" s="17">
        <v>0</v>
      </c>
      <c r="AU378" s="9">
        <f t="shared" si="217"/>
        <v>1</v>
      </c>
      <c r="AV378" s="9">
        <f t="shared" si="218"/>
        <v>80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</row>
    <row r="379" spans="1:72" s="11" customFormat="1" ht="27" customHeight="1" x14ac:dyDescent="0.15">
      <c r="A379" s="46"/>
      <c r="B379" s="43"/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1</v>
      </c>
      <c r="T379" s="29" t="s">
        <v>100</v>
      </c>
      <c r="U379" s="29" t="s">
        <v>101</v>
      </c>
      <c r="V379" s="9">
        <v>90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17">
        <v>0</v>
      </c>
      <c r="AR379" s="9">
        <v>0</v>
      </c>
      <c r="AS379" s="9">
        <v>0</v>
      </c>
      <c r="AT379" s="17">
        <v>0</v>
      </c>
      <c r="AU379" s="9">
        <f t="shared" si="217"/>
        <v>1</v>
      </c>
      <c r="AV379" s="9">
        <f t="shared" si="218"/>
        <v>90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</row>
    <row r="380" spans="1:72" s="11" customFormat="1" ht="27" customHeight="1" x14ac:dyDescent="0.15">
      <c r="A380" s="46"/>
      <c r="B380" s="43"/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1</v>
      </c>
      <c r="T380" s="29" t="s">
        <v>130</v>
      </c>
      <c r="U380" s="9" t="s">
        <v>128</v>
      </c>
      <c r="V380" s="9">
        <v>40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0</v>
      </c>
      <c r="AO380" s="9">
        <v>0</v>
      </c>
      <c r="AP380" s="9">
        <v>0</v>
      </c>
      <c r="AQ380" s="17">
        <v>0</v>
      </c>
      <c r="AR380" s="9">
        <v>0</v>
      </c>
      <c r="AS380" s="9">
        <v>0</v>
      </c>
      <c r="AT380" s="17">
        <v>0</v>
      </c>
      <c r="AU380" s="9">
        <f t="shared" si="217"/>
        <v>1</v>
      </c>
      <c r="AV380" s="9">
        <f t="shared" si="218"/>
        <v>40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</row>
    <row r="381" spans="1:72" s="11" customFormat="1" ht="27" customHeight="1" x14ac:dyDescent="0.15">
      <c r="A381" s="46"/>
      <c r="B381" s="43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2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17"/>
      <c r="AR381" s="9"/>
      <c r="AS381" s="9"/>
      <c r="AT381" s="17"/>
      <c r="AU381" s="9">
        <f t="shared" ref="AU381:AU385" si="219">SUM(C381+G381+K381+O381+S381+W381+AA381+AE381+AI381+AM381+AQ381)</f>
        <v>0</v>
      </c>
      <c r="AV381" s="9">
        <f t="shared" ref="AV381:AV385" si="220">SUM(F381+J381+N381+R381+V381+Z381+AD381+AH381+AL381+AP381+AT381)</f>
        <v>0</v>
      </c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</row>
    <row r="382" spans="1:72" s="11" customFormat="1" ht="27" customHeight="1" x14ac:dyDescent="0.15">
      <c r="A382" s="46"/>
      <c r="B382" s="43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2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17"/>
      <c r="AR382" s="9"/>
      <c r="AS382" s="9"/>
      <c r="AT382" s="17"/>
      <c r="AU382" s="9">
        <f t="shared" si="219"/>
        <v>0</v>
      </c>
      <c r="AV382" s="9">
        <f t="shared" si="220"/>
        <v>0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</row>
    <row r="383" spans="1:72" s="11" customFormat="1" ht="27" customHeight="1" x14ac:dyDescent="0.15">
      <c r="A383" s="46"/>
      <c r="B383" s="43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2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17">
        <v>0</v>
      </c>
      <c r="AR383" s="9">
        <v>0</v>
      </c>
      <c r="AS383" s="9">
        <v>0</v>
      </c>
      <c r="AT383" s="17">
        <v>0</v>
      </c>
      <c r="AU383" s="9">
        <f t="shared" si="219"/>
        <v>0</v>
      </c>
      <c r="AV383" s="9">
        <f t="shared" si="220"/>
        <v>0</v>
      </c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</row>
    <row r="384" spans="1:72" s="11" customFormat="1" ht="27" customHeight="1" x14ac:dyDescent="0.15">
      <c r="A384" s="46"/>
      <c r="B384" s="43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2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17">
        <v>0</v>
      </c>
      <c r="AR384" s="9">
        <v>0</v>
      </c>
      <c r="AS384" s="9">
        <v>0</v>
      </c>
      <c r="AT384" s="17">
        <v>0</v>
      </c>
      <c r="AU384" s="9">
        <f t="shared" si="219"/>
        <v>0</v>
      </c>
      <c r="AV384" s="9">
        <f t="shared" si="220"/>
        <v>0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</row>
    <row r="385" spans="1:72" s="11" customFormat="1" ht="13" x14ac:dyDescent="0.15">
      <c r="A385" s="46"/>
      <c r="B385" s="44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17">
        <v>0</v>
      </c>
      <c r="AR385" s="9">
        <v>0</v>
      </c>
      <c r="AS385" s="9">
        <v>0</v>
      </c>
      <c r="AT385" s="17">
        <v>0</v>
      </c>
      <c r="AU385" s="9">
        <f t="shared" si="219"/>
        <v>0</v>
      </c>
      <c r="AV385" s="9">
        <f t="shared" si="220"/>
        <v>0</v>
      </c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</row>
    <row r="386" spans="1:72" s="21" customFormat="1" ht="13" x14ac:dyDescent="0.15">
      <c r="A386" s="47"/>
      <c r="B386" s="22" t="s">
        <v>18</v>
      </c>
      <c r="C386" s="23">
        <f>SUM(C377:C385)</f>
        <v>0</v>
      </c>
      <c r="D386" s="23"/>
      <c r="E386" s="23"/>
      <c r="F386" s="23">
        <f t="shared" ref="F386:AT386" si="221">SUM(F377:F385)</f>
        <v>0</v>
      </c>
      <c r="G386" s="23">
        <f t="shared" si="221"/>
        <v>0</v>
      </c>
      <c r="H386" s="23"/>
      <c r="I386" s="23"/>
      <c r="J386" s="23">
        <f t="shared" si="221"/>
        <v>0</v>
      </c>
      <c r="K386" s="23">
        <f t="shared" si="221"/>
        <v>0</v>
      </c>
      <c r="L386" s="23"/>
      <c r="M386" s="23"/>
      <c r="N386" s="23">
        <f t="shared" si="221"/>
        <v>0</v>
      </c>
      <c r="O386" s="23">
        <f t="shared" si="221"/>
        <v>0</v>
      </c>
      <c r="P386" s="23"/>
      <c r="Q386" s="23"/>
      <c r="R386" s="23">
        <f t="shared" si="221"/>
        <v>0</v>
      </c>
      <c r="S386" s="23">
        <f t="shared" si="221"/>
        <v>2</v>
      </c>
      <c r="T386" s="23"/>
      <c r="U386" s="23"/>
      <c r="V386" s="23">
        <f t="shared" si="221"/>
        <v>130</v>
      </c>
      <c r="W386" s="23">
        <f t="shared" si="221"/>
        <v>2</v>
      </c>
      <c r="X386" s="23"/>
      <c r="Y386" s="23"/>
      <c r="Z386" s="23">
        <f t="shared" si="221"/>
        <v>160</v>
      </c>
      <c r="AA386" s="23">
        <f t="shared" si="221"/>
        <v>0</v>
      </c>
      <c r="AB386" s="23"/>
      <c r="AC386" s="23"/>
      <c r="AD386" s="23">
        <f t="shared" si="221"/>
        <v>0</v>
      </c>
      <c r="AE386" s="23">
        <f t="shared" si="221"/>
        <v>0</v>
      </c>
      <c r="AF386" s="23"/>
      <c r="AG386" s="23"/>
      <c r="AH386" s="23">
        <f t="shared" si="221"/>
        <v>0</v>
      </c>
      <c r="AI386" s="23">
        <f t="shared" si="221"/>
        <v>0</v>
      </c>
      <c r="AJ386" s="23"/>
      <c r="AK386" s="23"/>
      <c r="AL386" s="23">
        <f t="shared" si="221"/>
        <v>0</v>
      </c>
      <c r="AM386" s="23">
        <f t="shared" si="221"/>
        <v>0</v>
      </c>
      <c r="AN386" s="23"/>
      <c r="AO386" s="23"/>
      <c r="AP386" s="23">
        <f t="shared" si="221"/>
        <v>0</v>
      </c>
      <c r="AQ386" s="23">
        <f t="shared" si="221"/>
        <v>0</v>
      </c>
      <c r="AR386" s="23"/>
      <c r="AS386" s="23"/>
      <c r="AT386" s="23">
        <f t="shared" si="221"/>
        <v>0</v>
      </c>
      <c r="AU386" s="23">
        <f>SUM(AU377:AU385)</f>
        <v>4</v>
      </c>
      <c r="AV386" s="23">
        <f>SUM(AV377:AV385)</f>
        <v>290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72" s="11" customFormat="1" ht="28" x14ac:dyDescent="0.15">
      <c r="A387" s="45">
        <v>28</v>
      </c>
      <c r="B387" s="55" t="s">
        <v>47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1</v>
      </c>
      <c r="X387" s="29" t="s">
        <v>69</v>
      </c>
      <c r="Y387" s="9" t="s">
        <v>70</v>
      </c>
      <c r="Z387" s="9">
        <v>160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17">
        <v>0</v>
      </c>
      <c r="AR387" s="9">
        <v>0</v>
      </c>
      <c r="AS387" s="9">
        <v>0</v>
      </c>
      <c r="AT387" s="17">
        <v>0</v>
      </c>
      <c r="AU387" s="9">
        <f t="shared" si="217"/>
        <v>1</v>
      </c>
      <c r="AV387" s="9">
        <f t="shared" si="218"/>
        <v>160</v>
      </c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</row>
    <row r="388" spans="1:72" s="11" customFormat="1" ht="28" x14ac:dyDescent="0.15">
      <c r="A388" s="46"/>
      <c r="B388" s="56"/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1</v>
      </c>
      <c r="X388" s="29" t="s">
        <v>89</v>
      </c>
      <c r="Y388" s="9" t="s">
        <v>70</v>
      </c>
      <c r="Z388" s="9">
        <v>80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17">
        <v>0</v>
      </c>
      <c r="AR388" s="9">
        <v>0</v>
      </c>
      <c r="AS388" s="9">
        <v>0</v>
      </c>
      <c r="AT388" s="17">
        <v>0</v>
      </c>
      <c r="AU388" s="9">
        <f t="shared" si="217"/>
        <v>1</v>
      </c>
      <c r="AV388" s="9">
        <f t="shared" si="218"/>
        <v>80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</row>
    <row r="389" spans="1:72" s="11" customFormat="1" ht="28" x14ac:dyDescent="0.15">
      <c r="A389" s="46"/>
      <c r="B389" s="56"/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1</v>
      </c>
      <c r="X389" s="29" t="s">
        <v>95</v>
      </c>
      <c r="Y389" s="9" t="s">
        <v>83</v>
      </c>
      <c r="Z389" s="9">
        <v>80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17">
        <v>0</v>
      </c>
      <c r="AR389" s="9">
        <v>0</v>
      </c>
      <c r="AS389" s="9">
        <v>0</v>
      </c>
      <c r="AT389" s="17">
        <v>0</v>
      </c>
      <c r="AU389" s="9">
        <f t="shared" si="217"/>
        <v>1</v>
      </c>
      <c r="AV389" s="9">
        <f t="shared" si="218"/>
        <v>80</v>
      </c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</row>
    <row r="390" spans="1:72" s="11" customFormat="1" ht="28" x14ac:dyDescent="0.15">
      <c r="A390" s="46"/>
      <c r="B390" s="56"/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1</v>
      </c>
      <c r="X390" s="29" t="s">
        <v>108</v>
      </c>
      <c r="Y390" s="9" t="s">
        <v>60</v>
      </c>
      <c r="Z390" s="9">
        <v>210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17">
        <v>0</v>
      </c>
      <c r="AR390" s="9">
        <v>0</v>
      </c>
      <c r="AS390" s="9">
        <v>0</v>
      </c>
      <c r="AT390" s="17">
        <v>0</v>
      </c>
      <c r="AU390" s="9">
        <f t="shared" si="217"/>
        <v>1</v>
      </c>
      <c r="AV390" s="9">
        <f t="shared" si="218"/>
        <v>210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</row>
    <row r="391" spans="1:72" s="11" customFormat="1" ht="28" x14ac:dyDescent="0.15">
      <c r="A391" s="46"/>
      <c r="B391" s="56"/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1</v>
      </c>
      <c r="T391" s="29" t="s">
        <v>122</v>
      </c>
      <c r="U391" s="9" t="s">
        <v>77</v>
      </c>
      <c r="V391" s="9">
        <v>74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17">
        <v>0</v>
      </c>
      <c r="AR391" s="9">
        <v>0</v>
      </c>
      <c r="AS391" s="9">
        <v>0</v>
      </c>
      <c r="AT391" s="17">
        <v>0</v>
      </c>
      <c r="AU391" s="9">
        <f t="shared" si="217"/>
        <v>1</v>
      </c>
      <c r="AV391" s="9">
        <f t="shared" si="218"/>
        <v>74</v>
      </c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</row>
    <row r="392" spans="1:72" s="11" customFormat="1" ht="28" x14ac:dyDescent="0.15">
      <c r="A392" s="46"/>
      <c r="B392" s="56"/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1</v>
      </c>
      <c r="T392" s="29" t="s">
        <v>127</v>
      </c>
      <c r="U392" s="9" t="s">
        <v>128</v>
      </c>
      <c r="V392" s="9">
        <v>40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f t="shared" ref="AU392:AU393" si="222">SUM(C392+G392+K392+O392+S392+W392+AA392+AE392+AI392+AM392+AQ392)</f>
        <v>1</v>
      </c>
      <c r="AV392" s="9">
        <f t="shared" ref="AV392:AV393" si="223">SUM(F392+J392+N392+R392+V392+Z392+AD392+AH392+AL392+AP392+AT392)</f>
        <v>40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</row>
    <row r="393" spans="1:72" s="11" customFormat="1" ht="28" x14ac:dyDescent="0.15">
      <c r="A393" s="46"/>
      <c r="B393" s="56"/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1</v>
      </c>
      <c r="T393" s="29" t="s">
        <v>130</v>
      </c>
      <c r="U393" s="9" t="s">
        <v>128</v>
      </c>
      <c r="V393" s="9">
        <v>40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f t="shared" si="222"/>
        <v>1</v>
      </c>
      <c r="AV393" s="9">
        <f t="shared" si="223"/>
        <v>40</v>
      </c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</row>
    <row r="394" spans="1:72" s="11" customFormat="1" ht="13" x14ac:dyDescent="0.15">
      <c r="A394" s="46"/>
      <c r="B394" s="56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2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17"/>
      <c r="AR394" s="9"/>
      <c r="AS394" s="9"/>
      <c r="AT394" s="17"/>
      <c r="AU394" s="9">
        <f t="shared" ref="AU394:AU400" si="224">SUM(C394+G394+K394+O394+S394+W394+AA394+AE394+AI394+AM394+AQ394)</f>
        <v>0</v>
      </c>
      <c r="AV394" s="9">
        <f t="shared" ref="AV394:AV400" si="225">SUM(F394+J394+N394+R394+V394+Z394+AD394+AH394+AL394+AP394+AT394)</f>
        <v>0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</row>
    <row r="395" spans="1:72" s="11" customFormat="1" ht="13" x14ac:dyDescent="0.15">
      <c r="A395" s="46"/>
      <c r="B395" s="56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2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17"/>
      <c r="AR395" s="9"/>
      <c r="AS395" s="9"/>
      <c r="AT395" s="17"/>
      <c r="AU395" s="9">
        <f t="shared" si="224"/>
        <v>0</v>
      </c>
      <c r="AV395" s="9">
        <f t="shared" si="225"/>
        <v>0</v>
      </c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</row>
    <row r="396" spans="1:72" s="11" customFormat="1" ht="13" x14ac:dyDescent="0.15">
      <c r="A396" s="46"/>
      <c r="B396" s="56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2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17"/>
      <c r="AR396" s="9"/>
      <c r="AS396" s="9"/>
      <c r="AT396" s="17"/>
      <c r="AU396" s="9">
        <f t="shared" si="224"/>
        <v>0</v>
      </c>
      <c r="AV396" s="9">
        <f t="shared" si="225"/>
        <v>0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</row>
    <row r="397" spans="1:72" s="11" customFormat="1" ht="13" x14ac:dyDescent="0.15">
      <c r="A397" s="46"/>
      <c r="B397" s="56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2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17"/>
      <c r="AR397" s="9"/>
      <c r="AS397" s="9"/>
      <c r="AT397" s="17"/>
      <c r="AU397" s="9">
        <f t="shared" si="224"/>
        <v>0</v>
      </c>
      <c r="AV397" s="9">
        <f t="shared" si="225"/>
        <v>0</v>
      </c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</row>
    <row r="398" spans="1:72" s="11" customFormat="1" ht="13" x14ac:dyDescent="0.15">
      <c r="A398" s="46"/>
      <c r="B398" s="56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2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17"/>
      <c r="AR398" s="9"/>
      <c r="AS398" s="9"/>
      <c r="AT398" s="17"/>
      <c r="AU398" s="9">
        <f t="shared" si="224"/>
        <v>0</v>
      </c>
      <c r="AV398" s="9">
        <f t="shared" si="225"/>
        <v>0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</row>
    <row r="399" spans="1:72" s="11" customFormat="1" ht="13" x14ac:dyDescent="0.15">
      <c r="A399" s="46"/>
      <c r="B399" s="56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17">
        <v>0</v>
      </c>
      <c r="AR399" s="9">
        <v>0</v>
      </c>
      <c r="AS399" s="9">
        <v>0</v>
      </c>
      <c r="AT399" s="17">
        <v>0</v>
      </c>
      <c r="AU399" s="9">
        <f t="shared" si="224"/>
        <v>0</v>
      </c>
      <c r="AV399" s="9">
        <f t="shared" si="225"/>
        <v>0</v>
      </c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</row>
    <row r="400" spans="1:72" s="11" customFormat="1" ht="13" x14ac:dyDescent="0.15">
      <c r="A400" s="46"/>
      <c r="B400" s="57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17">
        <v>0</v>
      </c>
      <c r="AR400" s="9">
        <v>0</v>
      </c>
      <c r="AS400" s="9">
        <v>0</v>
      </c>
      <c r="AT400" s="17">
        <v>0</v>
      </c>
      <c r="AU400" s="9">
        <f t="shared" si="224"/>
        <v>0</v>
      </c>
      <c r="AV400" s="9">
        <f t="shared" si="225"/>
        <v>0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</row>
    <row r="401" spans="1:72" s="21" customFormat="1" ht="13" x14ac:dyDescent="0.15">
      <c r="A401" s="47"/>
      <c r="B401" s="22" t="s">
        <v>18</v>
      </c>
      <c r="C401" s="23">
        <f>SUM(C387:C400)</f>
        <v>0</v>
      </c>
      <c r="D401" s="23"/>
      <c r="E401" s="23"/>
      <c r="F401" s="23">
        <f t="shared" ref="F401" si="226">SUM(F387:F400)</f>
        <v>0</v>
      </c>
      <c r="G401" s="23">
        <f t="shared" ref="G401" si="227">SUM(G387:G400)</f>
        <v>0</v>
      </c>
      <c r="H401" s="23"/>
      <c r="I401" s="23"/>
      <c r="J401" s="23">
        <f t="shared" ref="J401" si="228">SUM(J387:J400)</f>
        <v>0</v>
      </c>
      <c r="K401" s="23">
        <f t="shared" ref="K401" si="229">SUM(K387:K400)</f>
        <v>0</v>
      </c>
      <c r="L401" s="23"/>
      <c r="M401" s="23"/>
      <c r="N401" s="23">
        <f t="shared" ref="N401" si="230">SUM(N387:N400)</f>
        <v>0</v>
      </c>
      <c r="O401" s="23">
        <f t="shared" ref="O401" si="231">SUM(O387:O400)</f>
        <v>0</v>
      </c>
      <c r="P401" s="23"/>
      <c r="Q401" s="23"/>
      <c r="R401" s="23">
        <f t="shared" ref="R401" si="232">SUM(R387:R400)</f>
        <v>0</v>
      </c>
      <c r="S401" s="23">
        <f t="shared" ref="S401" si="233">SUM(S387:S400)</f>
        <v>3</v>
      </c>
      <c r="T401" s="23"/>
      <c r="U401" s="23"/>
      <c r="V401" s="23">
        <f t="shared" ref="V401" si="234">SUM(V387:V400)</f>
        <v>154</v>
      </c>
      <c r="W401" s="23">
        <f t="shared" ref="W401" si="235">SUM(W387:W400)</f>
        <v>4</v>
      </c>
      <c r="X401" s="23"/>
      <c r="Y401" s="23"/>
      <c r="Z401" s="23">
        <f t="shared" ref="Z401" si="236">SUM(Z387:Z400)</f>
        <v>530</v>
      </c>
      <c r="AA401" s="23">
        <f t="shared" ref="AA401" si="237">SUM(AA387:AA400)</f>
        <v>0</v>
      </c>
      <c r="AB401" s="23"/>
      <c r="AC401" s="23"/>
      <c r="AD401" s="23">
        <f t="shared" ref="AD401" si="238">SUM(AD387:AD400)</f>
        <v>0</v>
      </c>
      <c r="AE401" s="23">
        <f t="shared" ref="AE401" si="239">SUM(AE387:AE400)</f>
        <v>0</v>
      </c>
      <c r="AF401" s="23"/>
      <c r="AG401" s="23"/>
      <c r="AH401" s="23">
        <f t="shared" ref="AH401" si="240">SUM(AH387:AH400)</f>
        <v>0</v>
      </c>
      <c r="AI401" s="23">
        <f t="shared" ref="AI401" si="241">SUM(AI387:AI400)</f>
        <v>0</v>
      </c>
      <c r="AJ401" s="23"/>
      <c r="AK401" s="23"/>
      <c r="AL401" s="23">
        <f t="shared" ref="AL401" si="242">SUM(AL387:AL400)</f>
        <v>0</v>
      </c>
      <c r="AM401" s="23">
        <f t="shared" ref="AM401" si="243">SUM(AM387:AM400)</f>
        <v>0</v>
      </c>
      <c r="AN401" s="23"/>
      <c r="AO401" s="23"/>
      <c r="AP401" s="23">
        <f t="shared" ref="AP401:AT401" si="244">SUM(AP387:AP400)</f>
        <v>0</v>
      </c>
      <c r="AQ401" s="23">
        <f t="shared" si="244"/>
        <v>0</v>
      </c>
      <c r="AR401" s="23"/>
      <c r="AS401" s="23"/>
      <c r="AT401" s="23">
        <f t="shared" si="244"/>
        <v>0</v>
      </c>
      <c r="AU401" s="23">
        <f>SUM(AU387:AU400)</f>
        <v>7</v>
      </c>
      <c r="AV401" s="23">
        <f>SUM(AV387:AV400)</f>
        <v>684</v>
      </c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72" s="11" customFormat="1" ht="28" x14ac:dyDescent="0.15">
      <c r="A402" s="45">
        <v>29</v>
      </c>
      <c r="B402" s="42" t="s">
        <v>48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1</v>
      </c>
      <c r="X402" s="37" t="s">
        <v>67</v>
      </c>
      <c r="Y402" s="9" t="s">
        <v>62</v>
      </c>
      <c r="Z402" s="9">
        <v>80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17">
        <v>0</v>
      </c>
      <c r="AR402" s="9">
        <v>0</v>
      </c>
      <c r="AS402" s="9">
        <v>0</v>
      </c>
      <c r="AT402" s="17">
        <v>0</v>
      </c>
      <c r="AU402" s="9">
        <f t="shared" si="217"/>
        <v>1</v>
      </c>
      <c r="AV402" s="9">
        <f t="shared" si="218"/>
        <v>80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</row>
    <row r="403" spans="1:72" s="11" customFormat="1" ht="28" x14ac:dyDescent="0.15">
      <c r="A403" s="46"/>
      <c r="B403" s="43"/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1</v>
      </c>
      <c r="X403" s="29" t="s">
        <v>75</v>
      </c>
      <c r="Y403" s="9" t="s">
        <v>62</v>
      </c>
      <c r="Z403" s="9">
        <v>80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17">
        <v>0</v>
      </c>
      <c r="AR403" s="9">
        <v>0</v>
      </c>
      <c r="AS403" s="9">
        <v>0</v>
      </c>
      <c r="AT403" s="17">
        <v>0</v>
      </c>
      <c r="AU403" s="9">
        <f t="shared" si="217"/>
        <v>1</v>
      </c>
      <c r="AV403" s="9">
        <f t="shared" si="218"/>
        <v>80</v>
      </c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</row>
    <row r="404" spans="1:72" s="11" customFormat="1" ht="28" x14ac:dyDescent="0.15">
      <c r="A404" s="46"/>
      <c r="B404" s="43"/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1</v>
      </c>
      <c r="T404" s="29" t="s">
        <v>94</v>
      </c>
      <c r="U404" s="9" t="s">
        <v>72</v>
      </c>
      <c r="V404" s="9">
        <v>170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17">
        <v>0</v>
      </c>
      <c r="AR404" s="9">
        <v>0</v>
      </c>
      <c r="AS404" s="9">
        <v>0</v>
      </c>
      <c r="AT404" s="17">
        <v>0</v>
      </c>
      <c r="AU404" s="9">
        <f t="shared" si="217"/>
        <v>1</v>
      </c>
      <c r="AV404" s="9">
        <f t="shared" si="218"/>
        <v>170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</row>
    <row r="405" spans="1:72" s="11" customFormat="1" ht="14" x14ac:dyDescent="0.15">
      <c r="A405" s="46"/>
      <c r="B405" s="43"/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17">
        <v>1</v>
      </c>
      <c r="AR405" s="39">
        <v>46114</v>
      </c>
      <c r="AS405" s="29" t="s">
        <v>105</v>
      </c>
      <c r="AT405" s="17">
        <v>30</v>
      </c>
      <c r="AU405" s="9">
        <f t="shared" si="217"/>
        <v>1</v>
      </c>
      <c r="AV405" s="9">
        <f t="shared" si="218"/>
        <v>30</v>
      </c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</row>
    <row r="406" spans="1:72" s="11" customFormat="1" ht="28" x14ac:dyDescent="0.15">
      <c r="A406" s="46"/>
      <c r="B406" s="43"/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17">
        <v>1</v>
      </c>
      <c r="AR406" s="37" t="s">
        <v>104</v>
      </c>
      <c r="AS406" s="9" t="s">
        <v>83</v>
      </c>
      <c r="AT406" s="17">
        <v>30</v>
      </c>
      <c r="AU406" s="9">
        <f t="shared" si="217"/>
        <v>1</v>
      </c>
      <c r="AV406" s="9">
        <f t="shared" si="218"/>
        <v>30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</row>
    <row r="407" spans="1:72" s="11" customFormat="1" ht="28" x14ac:dyDescent="0.15">
      <c r="A407" s="46"/>
      <c r="B407" s="43"/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17">
        <v>1</v>
      </c>
      <c r="AR407" s="37" t="s">
        <v>104</v>
      </c>
      <c r="AS407" s="9" t="s">
        <v>83</v>
      </c>
      <c r="AT407" s="17">
        <v>30</v>
      </c>
      <c r="AU407" s="9">
        <f t="shared" si="217"/>
        <v>1</v>
      </c>
      <c r="AV407" s="9">
        <f t="shared" si="218"/>
        <v>30</v>
      </c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</row>
    <row r="408" spans="1:72" s="11" customFormat="1" ht="28" x14ac:dyDescent="0.15">
      <c r="A408" s="46"/>
      <c r="B408" s="43"/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1</v>
      </c>
      <c r="AR408" s="29" t="s">
        <v>127</v>
      </c>
      <c r="AS408" s="9" t="s">
        <v>128</v>
      </c>
      <c r="AT408" s="9">
        <v>40</v>
      </c>
      <c r="AU408" s="9">
        <f t="shared" si="217"/>
        <v>1</v>
      </c>
      <c r="AV408" s="9">
        <f t="shared" si="218"/>
        <v>40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</row>
    <row r="409" spans="1:72" s="11" customFormat="1" ht="13" x14ac:dyDescent="0.15">
      <c r="A409" s="46"/>
      <c r="B409" s="43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17"/>
      <c r="AR409" s="9"/>
      <c r="AS409" s="9"/>
      <c r="AT409" s="17"/>
      <c r="AU409" s="9">
        <f t="shared" ref="AU409:AU415" si="245">SUM(C409+G409+K409+O409+S409+W409+AA409+AE409+AI409+AM409+AQ409)</f>
        <v>0</v>
      </c>
      <c r="AV409" s="9">
        <f t="shared" ref="AV409:AV415" si="246">SUM(F409+J409+N409+R409+V409+Z409+AD409+AH409+AL409+AP409+AT409)</f>
        <v>0</v>
      </c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</row>
    <row r="410" spans="1:72" s="11" customFormat="1" ht="13" x14ac:dyDescent="0.15">
      <c r="A410" s="46"/>
      <c r="B410" s="43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17"/>
      <c r="AR410" s="9"/>
      <c r="AS410" s="9"/>
      <c r="AT410" s="17"/>
      <c r="AU410" s="9">
        <f t="shared" si="245"/>
        <v>0</v>
      </c>
      <c r="AV410" s="9">
        <f t="shared" si="246"/>
        <v>0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</row>
    <row r="411" spans="1:72" s="11" customFormat="1" ht="13" x14ac:dyDescent="0.15">
      <c r="A411" s="46"/>
      <c r="B411" s="43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17"/>
      <c r="AR411" s="9"/>
      <c r="AS411" s="9"/>
      <c r="AT411" s="17"/>
      <c r="AU411" s="9">
        <f t="shared" si="245"/>
        <v>0</v>
      </c>
      <c r="AV411" s="9">
        <f t="shared" si="246"/>
        <v>0</v>
      </c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</row>
    <row r="412" spans="1:72" s="11" customFormat="1" ht="13" x14ac:dyDescent="0.15">
      <c r="A412" s="46"/>
      <c r="B412" s="43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17"/>
      <c r="AR412" s="9"/>
      <c r="AS412" s="9"/>
      <c r="AT412" s="17"/>
      <c r="AU412" s="9">
        <f t="shared" si="245"/>
        <v>0</v>
      </c>
      <c r="AV412" s="9">
        <f t="shared" si="246"/>
        <v>0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</row>
    <row r="413" spans="1:72" s="11" customFormat="1" ht="13" x14ac:dyDescent="0.15">
      <c r="A413" s="46"/>
      <c r="B413" s="43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17"/>
      <c r="AR413" s="9"/>
      <c r="AS413" s="9"/>
      <c r="AT413" s="17"/>
      <c r="AU413" s="9">
        <f t="shared" si="245"/>
        <v>0</v>
      </c>
      <c r="AV413" s="9">
        <f t="shared" si="246"/>
        <v>0</v>
      </c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</row>
    <row r="414" spans="1:72" s="11" customFormat="1" ht="13" x14ac:dyDescent="0.15">
      <c r="A414" s="46"/>
      <c r="B414" s="43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17">
        <v>0</v>
      </c>
      <c r="AR414" s="9">
        <v>0</v>
      </c>
      <c r="AS414" s="9">
        <v>0</v>
      </c>
      <c r="AT414" s="17">
        <v>0</v>
      </c>
      <c r="AU414" s="9">
        <f t="shared" si="245"/>
        <v>0</v>
      </c>
      <c r="AV414" s="9">
        <f t="shared" si="246"/>
        <v>0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</row>
    <row r="415" spans="1:72" s="11" customFormat="1" ht="13" x14ac:dyDescent="0.15">
      <c r="A415" s="46"/>
      <c r="B415" s="44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17">
        <v>0</v>
      </c>
      <c r="AR415" s="9">
        <v>0</v>
      </c>
      <c r="AS415" s="9">
        <v>0</v>
      </c>
      <c r="AT415" s="17">
        <v>0</v>
      </c>
      <c r="AU415" s="9">
        <f t="shared" si="245"/>
        <v>0</v>
      </c>
      <c r="AV415" s="9">
        <f t="shared" si="246"/>
        <v>0</v>
      </c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</row>
    <row r="416" spans="1:72" s="21" customFormat="1" ht="13" x14ac:dyDescent="0.15">
      <c r="A416" s="47"/>
      <c r="B416" s="22" t="s">
        <v>18</v>
      </c>
      <c r="C416" s="23">
        <f>SUM(C402:C415)</f>
        <v>0</v>
      </c>
      <c r="D416" s="23"/>
      <c r="E416" s="23"/>
      <c r="F416" s="23">
        <f t="shared" ref="F416" si="247">SUM(F402:F415)</f>
        <v>0</v>
      </c>
      <c r="G416" s="23">
        <f t="shared" ref="G416" si="248">SUM(G402:G415)</f>
        <v>0</v>
      </c>
      <c r="H416" s="23"/>
      <c r="I416" s="23"/>
      <c r="J416" s="23">
        <f t="shared" ref="J416" si="249">SUM(J402:J415)</f>
        <v>0</v>
      </c>
      <c r="K416" s="23">
        <f t="shared" ref="K416" si="250">SUM(K402:K415)</f>
        <v>0</v>
      </c>
      <c r="L416" s="23"/>
      <c r="M416" s="23"/>
      <c r="N416" s="23">
        <f t="shared" ref="N416" si="251">SUM(N402:N415)</f>
        <v>0</v>
      </c>
      <c r="O416" s="23">
        <f t="shared" ref="O416" si="252">SUM(O402:O415)</f>
        <v>0</v>
      </c>
      <c r="P416" s="23"/>
      <c r="Q416" s="23"/>
      <c r="R416" s="23">
        <f t="shared" ref="R416" si="253">SUM(R402:R415)</f>
        <v>0</v>
      </c>
      <c r="S416" s="23">
        <f t="shared" ref="S416" si="254">SUM(S402:S415)</f>
        <v>1</v>
      </c>
      <c r="T416" s="23"/>
      <c r="U416" s="23"/>
      <c r="V416" s="23">
        <f t="shared" ref="V416" si="255">SUM(V402:V415)</f>
        <v>170</v>
      </c>
      <c r="W416" s="23">
        <f t="shared" ref="W416" si="256">SUM(W402:W415)</f>
        <v>2</v>
      </c>
      <c r="X416" s="23"/>
      <c r="Y416" s="23"/>
      <c r="Z416" s="23">
        <f t="shared" ref="Z416" si="257">SUM(Z402:Z415)</f>
        <v>160</v>
      </c>
      <c r="AA416" s="23">
        <f t="shared" ref="AA416" si="258">SUM(AA402:AA415)</f>
        <v>0</v>
      </c>
      <c r="AB416" s="23"/>
      <c r="AC416" s="23"/>
      <c r="AD416" s="23">
        <f t="shared" ref="AD416" si="259">SUM(AD402:AD415)</f>
        <v>0</v>
      </c>
      <c r="AE416" s="23">
        <f t="shared" ref="AE416" si="260">SUM(AE402:AE415)</f>
        <v>0</v>
      </c>
      <c r="AF416" s="23"/>
      <c r="AG416" s="23"/>
      <c r="AH416" s="23">
        <f t="shared" ref="AH416" si="261">SUM(AH402:AH415)</f>
        <v>0</v>
      </c>
      <c r="AI416" s="23">
        <f t="shared" ref="AI416" si="262">SUM(AI402:AI415)</f>
        <v>0</v>
      </c>
      <c r="AJ416" s="23"/>
      <c r="AK416" s="23"/>
      <c r="AL416" s="23">
        <f t="shared" ref="AL416" si="263">SUM(AL402:AL415)</f>
        <v>0</v>
      </c>
      <c r="AM416" s="23">
        <f t="shared" ref="AM416" si="264">SUM(AM402:AM415)</f>
        <v>0</v>
      </c>
      <c r="AN416" s="23"/>
      <c r="AO416" s="23"/>
      <c r="AP416" s="23">
        <f t="shared" ref="AP416:AT416" si="265">SUM(AP402:AP415)</f>
        <v>0</v>
      </c>
      <c r="AQ416" s="23">
        <f t="shared" si="265"/>
        <v>4</v>
      </c>
      <c r="AR416" s="23"/>
      <c r="AS416" s="23"/>
      <c r="AT416" s="23">
        <f t="shared" si="265"/>
        <v>130</v>
      </c>
      <c r="AU416" s="23">
        <f>SUM(AU402:AU415)</f>
        <v>7</v>
      </c>
      <c r="AV416" s="23">
        <f>SUM(AV402:AV415)</f>
        <v>460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72" s="11" customFormat="1" ht="28" x14ac:dyDescent="0.15">
      <c r="A417" s="45">
        <v>30</v>
      </c>
      <c r="B417" s="42" t="s">
        <v>73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1</v>
      </c>
      <c r="X417" s="29" t="s">
        <v>71</v>
      </c>
      <c r="Y417" s="9" t="s">
        <v>72</v>
      </c>
      <c r="Z417" s="9">
        <v>170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17">
        <v>0</v>
      </c>
      <c r="AR417" s="9">
        <v>0</v>
      </c>
      <c r="AS417" s="9">
        <v>0</v>
      </c>
      <c r="AT417" s="17">
        <v>0</v>
      </c>
      <c r="AU417" s="9">
        <f t="shared" si="217"/>
        <v>1</v>
      </c>
      <c r="AV417" s="9">
        <f t="shared" si="218"/>
        <v>170</v>
      </c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</row>
    <row r="418" spans="1:72" s="11" customFormat="1" ht="28" x14ac:dyDescent="0.15">
      <c r="A418" s="46"/>
      <c r="B418" s="43"/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1</v>
      </c>
      <c r="X418" s="29" t="s">
        <v>122</v>
      </c>
      <c r="Y418" s="9" t="s">
        <v>123</v>
      </c>
      <c r="Z418" s="9">
        <v>120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17">
        <v>0</v>
      </c>
      <c r="AR418" s="9">
        <v>0</v>
      </c>
      <c r="AS418" s="9">
        <v>0</v>
      </c>
      <c r="AT418" s="17">
        <v>0</v>
      </c>
      <c r="AU418" s="9">
        <f t="shared" si="217"/>
        <v>1</v>
      </c>
      <c r="AV418" s="9">
        <f t="shared" si="218"/>
        <v>120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</row>
    <row r="419" spans="1:72" s="11" customFormat="1" ht="13" x14ac:dyDescent="0.15">
      <c r="A419" s="46"/>
      <c r="B419" s="43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17">
        <v>0</v>
      </c>
      <c r="AR419" s="9">
        <v>0</v>
      </c>
      <c r="AS419" s="9">
        <v>0</v>
      </c>
      <c r="AT419" s="17">
        <v>0</v>
      </c>
      <c r="AU419" s="9">
        <f t="shared" si="217"/>
        <v>0</v>
      </c>
      <c r="AV419" s="9">
        <f t="shared" si="218"/>
        <v>0</v>
      </c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</row>
    <row r="420" spans="1:72" s="11" customFormat="1" ht="13" x14ac:dyDescent="0.15">
      <c r="A420" s="46"/>
      <c r="B420" s="43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17">
        <v>0</v>
      </c>
      <c r="AR420" s="9">
        <v>0</v>
      </c>
      <c r="AS420" s="9">
        <v>0</v>
      </c>
      <c r="AT420" s="17">
        <v>0</v>
      </c>
      <c r="AU420" s="9">
        <f t="shared" si="217"/>
        <v>0</v>
      </c>
      <c r="AV420" s="9">
        <f t="shared" si="218"/>
        <v>0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</row>
    <row r="421" spans="1:72" s="11" customFormat="1" ht="13" x14ac:dyDescent="0.15">
      <c r="A421" s="46"/>
      <c r="B421" s="43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17">
        <v>0</v>
      </c>
      <c r="AR421" s="9">
        <v>0</v>
      </c>
      <c r="AS421" s="9">
        <v>0</v>
      </c>
      <c r="AT421" s="17">
        <v>0</v>
      </c>
      <c r="AU421" s="9">
        <f t="shared" si="217"/>
        <v>0</v>
      </c>
      <c r="AV421" s="9">
        <f t="shared" si="218"/>
        <v>0</v>
      </c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</row>
    <row r="422" spans="1:72" s="11" customFormat="1" ht="13" x14ac:dyDescent="0.15">
      <c r="A422" s="46"/>
      <c r="B422" s="43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17">
        <v>0</v>
      </c>
      <c r="AR422" s="9">
        <v>0</v>
      </c>
      <c r="AS422" s="9">
        <v>0</v>
      </c>
      <c r="AT422" s="17">
        <v>0</v>
      </c>
      <c r="AU422" s="9">
        <f t="shared" si="217"/>
        <v>0</v>
      </c>
      <c r="AV422" s="9">
        <f t="shared" si="218"/>
        <v>0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</row>
    <row r="423" spans="1:72" s="11" customFormat="1" ht="13" x14ac:dyDescent="0.15">
      <c r="A423" s="46"/>
      <c r="B423" s="43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17">
        <v>0</v>
      </c>
      <c r="AR423" s="9">
        <v>0</v>
      </c>
      <c r="AS423" s="9">
        <v>0</v>
      </c>
      <c r="AT423" s="17">
        <v>0</v>
      </c>
      <c r="AU423" s="9">
        <f t="shared" si="217"/>
        <v>0</v>
      </c>
      <c r="AV423" s="9">
        <f t="shared" si="218"/>
        <v>0</v>
      </c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</row>
    <row r="424" spans="1:72" s="11" customFormat="1" ht="13" x14ac:dyDescent="0.15">
      <c r="A424" s="46"/>
      <c r="B424" s="44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17">
        <v>0</v>
      </c>
      <c r="AR424" s="9">
        <v>0</v>
      </c>
      <c r="AS424" s="9">
        <v>0</v>
      </c>
      <c r="AT424" s="17">
        <v>0</v>
      </c>
      <c r="AU424" s="9">
        <f t="shared" si="217"/>
        <v>0</v>
      </c>
      <c r="AV424" s="9">
        <f t="shared" si="218"/>
        <v>0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</row>
    <row r="425" spans="1:72" s="21" customFormat="1" ht="13" x14ac:dyDescent="0.15">
      <c r="A425" s="47"/>
      <c r="B425" s="22" t="s">
        <v>18</v>
      </c>
      <c r="C425" s="23">
        <f>SUM(C417:C424)</f>
        <v>0</v>
      </c>
      <c r="D425" s="23"/>
      <c r="E425" s="23"/>
      <c r="F425" s="23">
        <f t="shared" ref="F425" si="266">SUM(F417:F424)</f>
        <v>0</v>
      </c>
      <c r="G425" s="23">
        <f t="shared" ref="G425" si="267">SUM(G417:G424)</f>
        <v>0</v>
      </c>
      <c r="H425" s="23"/>
      <c r="I425" s="23"/>
      <c r="J425" s="23">
        <f t="shared" ref="J425" si="268">SUM(J417:J424)</f>
        <v>0</v>
      </c>
      <c r="K425" s="23">
        <f t="shared" ref="K425" si="269">SUM(K417:K424)</f>
        <v>0</v>
      </c>
      <c r="L425" s="23"/>
      <c r="M425" s="23"/>
      <c r="N425" s="23">
        <f t="shared" ref="N425" si="270">SUM(N417:N424)</f>
        <v>0</v>
      </c>
      <c r="O425" s="23">
        <f t="shared" ref="O425" si="271">SUM(O417:O424)</f>
        <v>0</v>
      </c>
      <c r="P425" s="23"/>
      <c r="Q425" s="23"/>
      <c r="R425" s="23">
        <f t="shared" ref="R425" si="272">SUM(R417:R424)</f>
        <v>0</v>
      </c>
      <c r="S425" s="23">
        <f t="shared" ref="S425" si="273">SUM(S417:S424)</f>
        <v>0</v>
      </c>
      <c r="T425" s="23"/>
      <c r="U425" s="23"/>
      <c r="V425" s="23">
        <f t="shared" ref="V425" si="274">SUM(V417:V424)</f>
        <v>0</v>
      </c>
      <c r="W425" s="23">
        <f t="shared" ref="W425" si="275">SUM(W417:W424)</f>
        <v>2</v>
      </c>
      <c r="X425" s="23"/>
      <c r="Y425" s="23"/>
      <c r="Z425" s="23">
        <f t="shared" ref="Z425" si="276">SUM(Z417:Z424)</f>
        <v>290</v>
      </c>
      <c r="AA425" s="23">
        <f t="shared" ref="AA425" si="277">SUM(AA417:AA424)</f>
        <v>0</v>
      </c>
      <c r="AB425" s="23"/>
      <c r="AC425" s="23"/>
      <c r="AD425" s="23">
        <f t="shared" ref="AD425" si="278">SUM(AD417:AD424)</f>
        <v>0</v>
      </c>
      <c r="AE425" s="23">
        <f t="shared" ref="AE425" si="279">SUM(AE417:AE424)</f>
        <v>0</v>
      </c>
      <c r="AF425" s="23"/>
      <c r="AG425" s="23"/>
      <c r="AH425" s="23">
        <f t="shared" ref="AH425" si="280">SUM(AH417:AH424)</f>
        <v>0</v>
      </c>
      <c r="AI425" s="23">
        <f t="shared" ref="AI425" si="281">SUM(AI417:AI424)</f>
        <v>0</v>
      </c>
      <c r="AJ425" s="23"/>
      <c r="AK425" s="23"/>
      <c r="AL425" s="23">
        <f t="shared" ref="AL425" si="282">SUM(AL417:AL424)</f>
        <v>0</v>
      </c>
      <c r="AM425" s="23">
        <f t="shared" ref="AM425" si="283">SUM(AM417:AM424)</f>
        <v>0</v>
      </c>
      <c r="AN425" s="23"/>
      <c r="AO425" s="23"/>
      <c r="AP425" s="23">
        <f t="shared" ref="AP425:AT425" si="284">SUM(AP417:AP424)</f>
        <v>0</v>
      </c>
      <c r="AQ425" s="23">
        <f t="shared" si="284"/>
        <v>0</v>
      </c>
      <c r="AR425" s="23"/>
      <c r="AS425" s="23"/>
      <c r="AT425" s="23">
        <f t="shared" si="284"/>
        <v>0</v>
      </c>
      <c r="AU425" s="23">
        <f>SUM(AU417:AU424)</f>
        <v>2</v>
      </c>
      <c r="AV425" s="23">
        <f>SUM(AV417:AV424)</f>
        <v>290</v>
      </c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72" s="11" customFormat="1" ht="13" x14ac:dyDescent="0.15">
      <c r="A426" s="45">
        <v>31</v>
      </c>
      <c r="B426" s="42" t="s">
        <v>49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17">
        <v>0</v>
      </c>
      <c r="AR426" s="9">
        <v>0</v>
      </c>
      <c r="AS426" s="9">
        <v>0</v>
      </c>
      <c r="AT426" s="17">
        <v>0</v>
      </c>
      <c r="AU426" s="9">
        <f t="shared" si="217"/>
        <v>0</v>
      </c>
      <c r="AV426" s="9">
        <f t="shared" si="218"/>
        <v>0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</row>
    <row r="427" spans="1:72" s="11" customFormat="1" ht="13" x14ac:dyDescent="0.15">
      <c r="A427" s="46"/>
      <c r="B427" s="43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17">
        <v>0</v>
      </c>
      <c r="AR427" s="9">
        <v>0</v>
      </c>
      <c r="AS427" s="9">
        <v>0</v>
      </c>
      <c r="AT427" s="17">
        <v>0</v>
      </c>
      <c r="AU427" s="9">
        <f t="shared" si="217"/>
        <v>0</v>
      </c>
      <c r="AV427" s="9">
        <f t="shared" si="218"/>
        <v>0</v>
      </c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</row>
    <row r="428" spans="1:72" s="11" customFormat="1" ht="13" x14ac:dyDescent="0.15">
      <c r="A428" s="46"/>
      <c r="B428" s="43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17">
        <v>0</v>
      </c>
      <c r="AR428" s="9">
        <v>0</v>
      </c>
      <c r="AS428" s="9">
        <v>0</v>
      </c>
      <c r="AT428" s="17">
        <v>0</v>
      </c>
      <c r="AU428" s="9">
        <f t="shared" si="217"/>
        <v>0</v>
      </c>
      <c r="AV428" s="9">
        <f t="shared" si="218"/>
        <v>0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</row>
    <row r="429" spans="1:72" s="11" customFormat="1" ht="13" x14ac:dyDescent="0.15">
      <c r="A429" s="46"/>
      <c r="B429" s="43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17">
        <v>0</v>
      </c>
      <c r="AR429" s="9">
        <v>0</v>
      </c>
      <c r="AS429" s="9">
        <v>0</v>
      </c>
      <c r="AT429" s="17">
        <v>0</v>
      </c>
      <c r="AU429" s="9">
        <f t="shared" si="217"/>
        <v>0</v>
      </c>
      <c r="AV429" s="9">
        <f t="shared" si="218"/>
        <v>0</v>
      </c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</row>
    <row r="430" spans="1:72" s="11" customFormat="1" ht="13" x14ac:dyDescent="0.15">
      <c r="A430" s="46"/>
      <c r="B430" s="43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17">
        <v>0</v>
      </c>
      <c r="AR430" s="9">
        <v>0</v>
      </c>
      <c r="AS430" s="9">
        <v>0</v>
      </c>
      <c r="AT430" s="17">
        <v>0</v>
      </c>
      <c r="AU430" s="9">
        <f t="shared" si="217"/>
        <v>0</v>
      </c>
      <c r="AV430" s="9">
        <f t="shared" si="218"/>
        <v>0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</row>
    <row r="431" spans="1:72" s="11" customFormat="1" ht="13" x14ac:dyDescent="0.15">
      <c r="A431" s="46"/>
      <c r="B431" s="43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17">
        <v>0</v>
      </c>
      <c r="AR431" s="9">
        <v>0</v>
      </c>
      <c r="AS431" s="9">
        <v>0</v>
      </c>
      <c r="AT431" s="17">
        <v>0</v>
      </c>
      <c r="AU431" s="9">
        <f t="shared" si="217"/>
        <v>0</v>
      </c>
      <c r="AV431" s="9">
        <f t="shared" si="218"/>
        <v>0</v>
      </c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</row>
    <row r="432" spans="1:72" s="11" customFormat="1" ht="13" x14ac:dyDescent="0.15">
      <c r="A432" s="46"/>
      <c r="B432" s="43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17">
        <v>0</v>
      </c>
      <c r="AR432" s="9">
        <v>0</v>
      </c>
      <c r="AS432" s="9">
        <v>0</v>
      </c>
      <c r="AT432" s="17">
        <v>0</v>
      </c>
      <c r="AU432" s="9">
        <f t="shared" si="217"/>
        <v>0</v>
      </c>
      <c r="AV432" s="9">
        <f t="shared" si="218"/>
        <v>0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</row>
    <row r="433" spans="1:72" s="11" customFormat="1" ht="13" x14ac:dyDescent="0.15">
      <c r="A433" s="46"/>
      <c r="B433" s="44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17">
        <v>0</v>
      </c>
      <c r="AR433" s="9">
        <v>0</v>
      </c>
      <c r="AS433" s="9">
        <v>0</v>
      </c>
      <c r="AT433" s="17">
        <v>0</v>
      </c>
      <c r="AU433" s="9">
        <f t="shared" si="217"/>
        <v>0</v>
      </c>
      <c r="AV433" s="9">
        <f t="shared" si="218"/>
        <v>0</v>
      </c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</row>
    <row r="434" spans="1:72" s="21" customFormat="1" ht="13" x14ac:dyDescent="0.15">
      <c r="A434" s="47"/>
      <c r="B434" s="22" t="s">
        <v>18</v>
      </c>
      <c r="C434" s="23">
        <f>SUM(C426:C433)</f>
        <v>0</v>
      </c>
      <c r="D434" s="23"/>
      <c r="E434" s="23"/>
      <c r="F434" s="23">
        <f t="shared" ref="F434:AT434" si="285">SUM(F426:F433)</f>
        <v>0</v>
      </c>
      <c r="G434" s="23">
        <f t="shared" si="285"/>
        <v>0</v>
      </c>
      <c r="H434" s="23"/>
      <c r="I434" s="23"/>
      <c r="J434" s="23">
        <f t="shared" si="285"/>
        <v>0</v>
      </c>
      <c r="K434" s="23">
        <f t="shared" si="285"/>
        <v>0</v>
      </c>
      <c r="L434" s="23"/>
      <c r="M434" s="23"/>
      <c r="N434" s="23">
        <f t="shared" si="285"/>
        <v>0</v>
      </c>
      <c r="O434" s="23">
        <f t="shared" si="285"/>
        <v>0</v>
      </c>
      <c r="P434" s="23"/>
      <c r="Q434" s="23"/>
      <c r="R434" s="23">
        <f t="shared" si="285"/>
        <v>0</v>
      </c>
      <c r="S434" s="23">
        <f t="shared" si="285"/>
        <v>0</v>
      </c>
      <c r="T434" s="23"/>
      <c r="U434" s="23"/>
      <c r="V434" s="23">
        <f t="shared" si="285"/>
        <v>0</v>
      </c>
      <c r="W434" s="23">
        <f t="shared" si="285"/>
        <v>0</v>
      </c>
      <c r="X434" s="23"/>
      <c r="Y434" s="23"/>
      <c r="Z434" s="23">
        <f t="shared" si="285"/>
        <v>0</v>
      </c>
      <c r="AA434" s="23">
        <f t="shared" si="285"/>
        <v>0</v>
      </c>
      <c r="AB434" s="23"/>
      <c r="AC434" s="23"/>
      <c r="AD434" s="23">
        <f t="shared" si="285"/>
        <v>0</v>
      </c>
      <c r="AE434" s="23">
        <f t="shared" si="285"/>
        <v>0</v>
      </c>
      <c r="AF434" s="23"/>
      <c r="AG434" s="23"/>
      <c r="AH434" s="23">
        <f t="shared" si="285"/>
        <v>0</v>
      </c>
      <c r="AI434" s="23">
        <f t="shared" si="285"/>
        <v>0</v>
      </c>
      <c r="AJ434" s="23"/>
      <c r="AK434" s="23"/>
      <c r="AL434" s="23">
        <f t="shared" si="285"/>
        <v>0</v>
      </c>
      <c r="AM434" s="23">
        <f t="shared" si="285"/>
        <v>0</v>
      </c>
      <c r="AN434" s="23"/>
      <c r="AO434" s="23"/>
      <c r="AP434" s="23">
        <f t="shared" si="285"/>
        <v>0</v>
      </c>
      <c r="AQ434" s="23">
        <f t="shared" si="285"/>
        <v>0</v>
      </c>
      <c r="AR434" s="23"/>
      <c r="AS434" s="23"/>
      <c r="AT434" s="23">
        <f t="shared" si="285"/>
        <v>0</v>
      </c>
      <c r="AU434" s="23">
        <f>SUM(AU426:AU433)</f>
        <v>0</v>
      </c>
      <c r="AV434" s="23">
        <f>SUM(AV426:AV433)</f>
        <v>0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72" s="11" customFormat="1" ht="28" x14ac:dyDescent="0.15">
      <c r="A435" s="45">
        <v>32</v>
      </c>
      <c r="B435" s="42" t="s">
        <v>74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1</v>
      </c>
      <c r="X435" s="29" t="s">
        <v>75</v>
      </c>
      <c r="Y435" s="9" t="s">
        <v>62</v>
      </c>
      <c r="Z435" s="9">
        <v>80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17">
        <v>0</v>
      </c>
      <c r="AR435" s="9">
        <v>0</v>
      </c>
      <c r="AS435" s="9">
        <v>0</v>
      </c>
      <c r="AT435" s="17">
        <v>0</v>
      </c>
      <c r="AU435" s="9">
        <f t="shared" si="217"/>
        <v>1</v>
      </c>
      <c r="AV435" s="9">
        <f t="shared" si="218"/>
        <v>80</v>
      </c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</row>
    <row r="436" spans="1:72" s="11" customFormat="1" ht="28" x14ac:dyDescent="0.15">
      <c r="A436" s="46"/>
      <c r="B436" s="43"/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1</v>
      </c>
      <c r="L436" s="29" t="s">
        <v>85</v>
      </c>
      <c r="M436" s="9" t="s">
        <v>86</v>
      </c>
      <c r="N436" s="9">
        <v>270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17">
        <v>0</v>
      </c>
      <c r="AR436" s="9">
        <v>0</v>
      </c>
      <c r="AS436" s="9">
        <v>0</v>
      </c>
      <c r="AT436" s="17">
        <v>0</v>
      </c>
      <c r="AU436" s="9">
        <f t="shared" si="217"/>
        <v>1</v>
      </c>
      <c r="AV436" s="9">
        <f t="shared" si="218"/>
        <v>270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</row>
    <row r="437" spans="1:72" s="11" customFormat="1" ht="13" x14ac:dyDescent="0.15">
      <c r="A437" s="46"/>
      <c r="B437" s="43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17">
        <v>0</v>
      </c>
      <c r="AR437" s="9">
        <v>0</v>
      </c>
      <c r="AS437" s="9">
        <v>0</v>
      </c>
      <c r="AT437" s="17">
        <v>0</v>
      </c>
      <c r="AU437" s="9">
        <f t="shared" si="217"/>
        <v>0</v>
      </c>
      <c r="AV437" s="9">
        <f t="shared" si="218"/>
        <v>0</v>
      </c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</row>
    <row r="438" spans="1:72" s="11" customFormat="1" ht="13" x14ac:dyDescent="0.15">
      <c r="A438" s="46"/>
      <c r="B438" s="43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17">
        <v>0</v>
      </c>
      <c r="AR438" s="9">
        <v>0</v>
      </c>
      <c r="AS438" s="9">
        <v>0</v>
      </c>
      <c r="AT438" s="17">
        <v>0</v>
      </c>
      <c r="AU438" s="9">
        <f t="shared" si="217"/>
        <v>0</v>
      </c>
      <c r="AV438" s="9">
        <f t="shared" si="218"/>
        <v>0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</row>
    <row r="439" spans="1:72" s="11" customFormat="1" ht="13" x14ac:dyDescent="0.15">
      <c r="A439" s="46"/>
      <c r="B439" s="43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17">
        <v>0</v>
      </c>
      <c r="AR439" s="9">
        <v>0</v>
      </c>
      <c r="AS439" s="9">
        <v>0</v>
      </c>
      <c r="AT439" s="17">
        <v>0</v>
      </c>
      <c r="AU439" s="9">
        <f t="shared" si="217"/>
        <v>0</v>
      </c>
      <c r="AV439" s="9">
        <f t="shared" si="218"/>
        <v>0</v>
      </c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</row>
    <row r="440" spans="1:72" s="11" customFormat="1" ht="13" x14ac:dyDescent="0.15">
      <c r="A440" s="46"/>
      <c r="B440" s="43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17">
        <v>0</v>
      </c>
      <c r="AR440" s="9">
        <v>0</v>
      </c>
      <c r="AS440" s="9">
        <v>0</v>
      </c>
      <c r="AT440" s="17">
        <v>0</v>
      </c>
      <c r="AU440" s="9">
        <f t="shared" si="217"/>
        <v>0</v>
      </c>
      <c r="AV440" s="9">
        <f t="shared" si="218"/>
        <v>0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</row>
    <row r="441" spans="1:72" s="11" customFormat="1" ht="13" x14ac:dyDescent="0.15">
      <c r="A441" s="46"/>
      <c r="B441" s="43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17">
        <v>0</v>
      </c>
      <c r="AR441" s="9">
        <v>0</v>
      </c>
      <c r="AS441" s="9">
        <v>0</v>
      </c>
      <c r="AT441" s="17">
        <v>0</v>
      </c>
      <c r="AU441" s="9">
        <f t="shared" si="217"/>
        <v>0</v>
      </c>
      <c r="AV441" s="9">
        <f t="shared" si="218"/>
        <v>0</v>
      </c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</row>
    <row r="442" spans="1:72" s="11" customFormat="1" ht="13" x14ac:dyDescent="0.15">
      <c r="A442" s="46"/>
      <c r="B442" s="43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17">
        <v>0</v>
      </c>
      <c r="AR442" s="9">
        <v>0</v>
      </c>
      <c r="AS442" s="9">
        <v>0</v>
      </c>
      <c r="AT442" s="17">
        <v>0</v>
      </c>
      <c r="AU442" s="9">
        <f t="shared" si="217"/>
        <v>0</v>
      </c>
      <c r="AV442" s="9">
        <f t="shared" si="218"/>
        <v>0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</row>
    <row r="443" spans="1:72" s="11" customFormat="1" ht="13" x14ac:dyDescent="0.15">
      <c r="A443" s="46"/>
      <c r="B443" s="44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17">
        <v>0</v>
      </c>
      <c r="AR443" s="9">
        <v>0</v>
      </c>
      <c r="AS443" s="9">
        <v>0</v>
      </c>
      <c r="AT443" s="17">
        <v>0</v>
      </c>
      <c r="AU443" s="9">
        <f t="shared" si="217"/>
        <v>0</v>
      </c>
      <c r="AV443" s="9">
        <f t="shared" si="218"/>
        <v>0</v>
      </c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</row>
    <row r="444" spans="1:72" s="21" customFormat="1" ht="13" x14ac:dyDescent="0.15">
      <c r="A444" s="47"/>
      <c r="B444" s="22" t="s">
        <v>18</v>
      </c>
      <c r="C444" s="23">
        <f>SUM(C435:C443)</f>
        <v>0</v>
      </c>
      <c r="D444" s="23"/>
      <c r="E444" s="23"/>
      <c r="F444" s="23">
        <f t="shared" ref="F444" si="286">SUM(F435:F443)</f>
        <v>0</v>
      </c>
      <c r="G444" s="23">
        <f t="shared" ref="G444" si="287">SUM(G435:G443)</f>
        <v>0</v>
      </c>
      <c r="H444" s="23"/>
      <c r="I444" s="23"/>
      <c r="J444" s="23">
        <f t="shared" ref="J444" si="288">SUM(J435:J443)</f>
        <v>0</v>
      </c>
      <c r="K444" s="23">
        <f t="shared" ref="K444" si="289">SUM(K435:K443)</f>
        <v>1</v>
      </c>
      <c r="L444" s="23"/>
      <c r="M444" s="23"/>
      <c r="N444" s="23">
        <f t="shared" ref="N444" si="290">SUM(N435:N443)</f>
        <v>270</v>
      </c>
      <c r="O444" s="23">
        <f t="shared" ref="O444" si="291">SUM(O435:O443)</f>
        <v>0</v>
      </c>
      <c r="P444" s="23"/>
      <c r="Q444" s="23"/>
      <c r="R444" s="23">
        <f t="shared" ref="R444" si="292">SUM(R435:R443)</f>
        <v>0</v>
      </c>
      <c r="S444" s="23">
        <f t="shared" ref="S444" si="293">SUM(S435:S443)</f>
        <v>0</v>
      </c>
      <c r="T444" s="23"/>
      <c r="U444" s="23"/>
      <c r="V444" s="23">
        <f t="shared" ref="V444" si="294">SUM(V435:V443)</f>
        <v>0</v>
      </c>
      <c r="W444" s="23">
        <f t="shared" ref="W444" si="295">SUM(W435:W443)</f>
        <v>1</v>
      </c>
      <c r="X444" s="23"/>
      <c r="Y444" s="23"/>
      <c r="Z444" s="23">
        <f t="shared" ref="Z444" si="296">SUM(Z435:Z443)</f>
        <v>80</v>
      </c>
      <c r="AA444" s="23">
        <f t="shared" ref="AA444" si="297">SUM(AA435:AA443)</f>
        <v>0</v>
      </c>
      <c r="AB444" s="23"/>
      <c r="AC444" s="23"/>
      <c r="AD444" s="23">
        <f t="shared" ref="AD444" si="298">SUM(AD435:AD443)</f>
        <v>0</v>
      </c>
      <c r="AE444" s="23">
        <f t="shared" ref="AE444" si="299">SUM(AE435:AE443)</f>
        <v>0</v>
      </c>
      <c r="AF444" s="23"/>
      <c r="AG444" s="23"/>
      <c r="AH444" s="23">
        <f t="shared" ref="AH444" si="300">SUM(AH435:AH443)</f>
        <v>0</v>
      </c>
      <c r="AI444" s="23">
        <f t="shared" ref="AI444" si="301">SUM(AI435:AI443)</f>
        <v>0</v>
      </c>
      <c r="AJ444" s="23"/>
      <c r="AK444" s="23"/>
      <c r="AL444" s="23">
        <f t="shared" ref="AL444" si="302">SUM(AL435:AL443)</f>
        <v>0</v>
      </c>
      <c r="AM444" s="23">
        <f t="shared" ref="AM444" si="303">SUM(AM435:AM443)</f>
        <v>0</v>
      </c>
      <c r="AN444" s="23"/>
      <c r="AO444" s="23"/>
      <c r="AP444" s="23">
        <f t="shared" ref="AP444:AT444" si="304">SUM(AP435:AP443)</f>
        <v>0</v>
      </c>
      <c r="AQ444" s="23">
        <f t="shared" si="304"/>
        <v>0</v>
      </c>
      <c r="AR444" s="23"/>
      <c r="AS444" s="23"/>
      <c r="AT444" s="23">
        <f t="shared" si="304"/>
        <v>0</v>
      </c>
      <c r="AU444" s="23">
        <f>SUM(AU435:AU443)</f>
        <v>2</v>
      </c>
      <c r="AV444" s="23">
        <f>SUM(AV435:AV443)</f>
        <v>350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72" s="11" customFormat="1" ht="28" x14ac:dyDescent="0.15">
      <c r="A445" s="45">
        <v>33</v>
      </c>
      <c r="B445" s="42" t="s">
        <v>50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1</v>
      </c>
      <c r="T445" s="29" t="s">
        <v>100</v>
      </c>
      <c r="U445" s="29" t="s">
        <v>101</v>
      </c>
      <c r="V445" s="9">
        <v>90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17">
        <v>0</v>
      </c>
      <c r="AR445" s="9">
        <v>0</v>
      </c>
      <c r="AS445" s="9">
        <v>0</v>
      </c>
      <c r="AT445" s="17">
        <v>0</v>
      </c>
      <c r="AU445" s="9">
        <f t="shared" si="217"/>
        <v>1</v>
      </c>
      <c r="AV445" s="9">
        <f t="shared" si="218"/>
        <v>90</v>
      </c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</row>
    <row r="446" spans="1:72" s="11" customFormat="1" ht="28" x14ac:dyDescent="0.15">
      <c r="A446" s="46"/>
      <c r="B446" s="43"/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1</v>
      </c>
      <c r="T446" s="29" t="s">
        <v>127</v>
      </c>
      <c r="U446" s="9" t="s">
        <v>128</v>
      </c>
      <c r="V446" s="9">
        <v>40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17">
        <v>0</v>
      </c>
      <c r="AR446" s="9">
        <v>0</v>
      </c>
      <c r="AS446" s="9">
        <v>0</v>
      </c>
      <c r="AT446" s="17">
        <v>0</v>
      </c>
      <c r="AU446" s="9">
        <f t="shared" si="217"/>
        <v>1</v>
      </c>
      <c r="AV446" s="9">
        <f t="shared" si="218"/>
        <v>40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</row>
    <row r="447" spans="1:72" s="11" customFormat="1" ht="28" x14ac:dyDescent="0.15">
      <c r="A447" s="46"/>
      <c r="B447" s="43"/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1</v>
      </c>
      <c r="T447" s="29" t="s">
        <v>130</v>
      </c>
      <c r="U447" s="9" t="s">
        <v>128</v>
      </c>
      <c r="V447" s="9">
        <v>40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17">
        <v>0</v>
      </c>
      <c r="AR447" s="9">
        <v>0</v>
      </c>
      <c r="AS447" s="9">
        <v>0</v>
      </c>
      <c r="AT447" s="17">
        <v>0</v>
      </c>
      <c r="AU447" s="9">
        <f t="shared" si="217"/>
        <v>1</v>
      </c>
      <c r="AV447" s="9">
        <f t="shared" si="218"/>
        <v>40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</row>
    <row r="448" spans="1:72" s="11" customFormat="1" ht="13" x14ac:dyDescent="0.15">
      <c r="A448" s="46"/>
      <c r="B448" s="43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17">
        <v>0</v>
      </c>
      <c r="AR448" s="9">
        <v>0</v>
      </c>
      <c r="AS448" s="9">
        <v>0</v>
      </c>
      <c r="AT448" s="17">
        <v>0</v>
      </c>
      <c r="AU448" s="9">
        <f t="shared" si="217"/>
        <v>0</v>
      </c>
      <c r="AV448" s="9">
        <f t="shared" si="218"/>
        <v>0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</row>
    <row r="449" spans="1:72" s="11" customFormat="1" ht="13" x14ac:dyDescent="0.15">
      <c r="A449" s="46"/>
      <c r="B449" s="43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17">
        <v>0</v>
      </c>
      <c r="AR449" s="9">
        <v>0</v>
      </c>
      <c r="AS449" s="9">
        <v>0</v>
      </c>
      <c r="AT449" s="17">
        <v>0</v>
      </c>
      <c r="AU449" s="9">
        <f t="shared" si="217"/>
        <v>0</v>
      </c>
      <c r="AV449" s="9">
        <f t="shared" si="218"/>
        <v>0</v>
      </c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</row>
    <row r="450" spans="1:72" s="11" customFormat="1" ht="13" x14ac:dyDescent="0.15">
      <c r="A450" s="46"/>
      <c r="B450" s="43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17">
        <v>0</v>
      </c>
      <c r="AR450" s="9">
        <v>0</v>
      </c>
      <c r="AS450" s="9">
        <v>0</v>
      </c>
      <c r="AT450" s="17">
        <v>0</v>
      </c>
      <c r="AU450" s="9">
        <f t="shared" si="217"/>
        <v>0</v>
      </c>
      <c r="AV450" s="9">
        <f t="shared" si="218"/>
        <v>0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</row>
    <row r="451" spans="1:72" s="11" customFormat="1" ht="13" x14ac:dyDescent="0.15">
      <c r="A451" s="46"/>
      <c r="B451" s="44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17">
        <v>0</v>
      </c>
      <c r="AR451" s="9">
        <v>0</v>
      </c>
      <c r="AS451" s="9">
        <v>0</v>
      </c>
      <c r="AT451" s="17">
        <v>0</v>
      </c>
      <c r="AU451" s="9">
        <f t="shared" si="217"/>
        <v>0</v>
      </c>
      <c r="AV451" s="9">
        <f t="shared" si="218"/>
        <v>0</v>
      </c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</row>
    <row r="452" spans="1:72" s="21" customFormat="1" ht="13" x14ac:dyDescent="0.15">
      <c r="A452" s="47"/>
      <c r="B452" s="40" t="s">
        <v>18</v>
      </c>
      <c r="C452" s="23">
        <f>SUM(C445:C451)</f>
        <v>0</v>
      </c>
      <c r="D452" s="23"/>
      <c r="E452" s="23"/>
      <c r="F452" s="23">
        <f t="shared" ref="F452" si="305">SUM(F445:F451)</f>
        <v>0</v>
      </c>
      <c r="G452" s="23">
        <f t="shared" ref="G452" si="306">SUM(G445:G451)</f>
        <v>0</v>
      </c>
      <c r="H452" s="23"/>
      <c r="I452" s="23"/>
      <c r="J452" s="23">
        <f t="shared" ref="J452" si="307">SUM(J445:J451)</f>
        <v>0</v>
      </c>
      <c r="K452" s="23">
        <f t="shared" ref="K452" si="308">SUM(K445:K451)</f>
        <v>0</v>
      </c>
      <c r="L452" s="23"/>
      <c r="M452" s="23"/>
      <c r="N452" s="23">
        <f t="shared" ref="N452" si="309">SUM(N445:N451)</f>
        <v>0</v>
      </c>
      <c r="O452" s="23">
        <f t="shared" ref="O452" si="310">SUM(O445:O451)</f>
        <v>0</v>
      </c>
      <c r="P452" s="23"/>
      <c r="Q452" s="23"/>
      <c r="R452" s="23">
        <f t="shared" ref="R452" si="311">SUM(R445:R451)</f>
        <v>0</v>
      </c>
      <c r="S452" s="23">
        <f t="shared" ref="S452" si="312">SUM(S445:S451)</f>
        <v>3</v>
      </c>
      <c r="T452" s="23"/>
      <c r="U452" s="23"/>
      <c r="V452" s="23">
        <f t="shared" ref="V452" si="313">SUM(V445:V451)</f>
        <v>170</v>
      </c>
      <c r="W452" s="23">
        <f t="shared" ref="W452" si="314">SUM(W445:W451)</f>
        <v>0</v>
      </c>
      <c r="X452" s="23"/>
      <c r="Y452" s="23"/>
      <c r="Z452" s="23">
        <f t="shared" ref="Z452" si="315">SUM(Z445:Z451)</f>
        <v>0</v>
      </c>
      <c r="AA452" s="23">
        <f t="shared" ref="AA452" si="316">SUM(AA445:AA451)</f>
        <v>0</v>
      </c>
      <c r="AB452" s="23"/>
      <c r="AC452" s="23"/>
      <c r="AD452" s="23">
        <f t="shared" ref="AD452" si="317">SUM(AD445:AD451)</f>
        <v>0</v>
      </c>
      <c r="AE452" s="23">
        <f t="shared" ref="AE452" si="318">SUM(AE445:AE451)</f>
        <v>0</v>
      </c>
      <c r="AF452" s="23"/>
      <c r="AG452" s="23"/>
      <c r="AH452" s="23">
        <f t="shared" ref="AH452" si="319">SUM(AH445:AH451)</f>
        <v>0</v>
      </c>
      <c r="AI452" s="23">
        <f t="shared" ref="AI452" si="320">SUM(AI445:AI451)</f>
        <v>0</v>
      </c>
      <c r="AJ452" s="23"/>
      <c r="AK452" s="23"/>
      <c r="AL452" s="23">
        <f t="shared" ref="AL452" si="321">SUM(AL445:AL451)</f>
        <v>0</v>
      </c>
      <c r="AM452" s="23">
        <f t="shared" ref="AM452" si="322">SUM(AM445:AM451)</f>
        <v>0</v>
      </c>
      <c r="AN452" s="23"/>
      <c r="AO452" s="23"/>
      <c r="AP452" s="23">
        <f t="shared" ref="AP452:AT452" si="323">SUM(AP445:AP451)</f>
        <v>0</v>
      </c>
      <c r="AQ452" s="23">
        <f t="shared" si="323"/>
        <v>0</v>
      </c>
      <c r="AR452" s="23"/>
      <c r="AS452" s="23"/>
      <c r="AT452" s="23">
        <f t="shared" si="323"/>
        <v>0</v>
      </c>
      <c r="AU452" s="23">
        <f>SUM(AU445:AU451)</f>
        <v>3</v>
      </c>
      <c r="AV452" s="23">
        <f>SUM(AV445:AV451)</f>
        <v>170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72" s="11" customFormat="1" ht="26.25" customHeight="1" x14ac:dyDescent="0.15">
      <c r="A453" s="45">
        <v>34</v>
      </c>
      <c r="B453" s="42" t="s">
        <v>51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1</v>
      </c>
      <c r="X453" s="29" t="s">
        <v>63</v>
      </c>
      <c r="Y453" s="9" t="s">
        <v>62</v>
      </c>
      <c r="Z453" s="9">
        <v>80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0</v>
      </c>
      <c r="AP453" s="9">
        <v>0</v>
      </c>
      <c r="AQ453" s="17">
        <v>0</v>
      </c>
      <c r="AR453" s="9">
        <v>0</v>
      </c>
      <c r="AS453" s="9">
        <v>0</v>
      </c>
      <c r="AT453" s="17">
        <v>0</v>
      </c>
      <c r="AU453" s="9">
        <f t="shared" si="217"/>
        <v>1</v>
      </c>
      <c r="AV453" s="9">
        <f t="shared" si="218"/>
        <v>80</v>
      </c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</row>
    <row r="454" spans="1:72" s="11" customFormat="1" ht="28" x14ac:dyDescent="0.15">
      <c r="A454" s="46"/>
      <c r="B454" s="43"/>
      <c r="C454" s="9">
        <v>1</v>
      </c>
      <c r="D454" s="29" t="s">
        <v>131</v>
      </c>
      <c r="E454" s="9" t="s">
        <v>90</v>
      </c>
      <c r="F454" s="9">
        <v>130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17">
        <v>0</v>
      </c>
      <c r="AR454" s="9">
        <v>0</v>
      </c>
      <c r="AS454" s="9">
        <v>0</v>
      </c>
      <c r="AT454" s="17">
        <v>0</v>
      </c>
      <c r="AU454" s="9">
        <f t="shared" si="217"/>
        <v>1</v>
      </c>
      <c r="AV454" s="9">
        <f t="shared" si="218"/>
        <v>130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</row>
    <row r="455" spans="1:72" s="11" customFormat="1" ht="28" x14ac:dyDescent="0.15">
      <c r="A455" s="46"/>
      <c r="B455" s="43"/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1</v>
      </c>
      <c r="AN455" s="29" t="s">
        <v>98</v>
      </c>
      <c r="AO455" s="29" t="s">
        <v>99</v>
      </c>
      <c r="AP455" s="9">
        <v>126</v>
      </c>
      <c r="AQ455" s="17">
        <v>0</v>
      </c>
      <c r="AR455" s="9">
        <v>0</v>
      </c>
      <c r="AS455" s="9">
        <v>0</v>
      </c>
      <c r="AT455" s="17">
        <v>0</v>
      </c>
      <c r="AU455" s="9">
        <f t="shared" ref="AU455:AU530" si="324">SUM(C455+G455+K455+O455+S455+W455+AA455+AE455+AI455+AM455+AQ455)</f>
        <v>1</v>
      </c>
      <c r="AV455" s="9">
        <f t="shared" ref="AV455:AV530" si="325">SUM(F455+J455+N455+R455+V455+Z455+AD455+AH455+AL455+AP455+AT455)</f>
        <v>126</v>
      </c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</row>
    <row r="456" spans="1:72" s="11" customFormat="1" ht="28" x14ac:dyDescent="0.15">
      <c r="A456" s="46"/>
      <c r="B456" s="43"/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1</v>
      </c>
      <c r="AN456" s="29" t="s">
        <v>113</v>
      </c>
      <c r="AO456" s="29" t="s">
        <v>99</v>
      </c>
      <c r="AP456" s="9">
        <v>126</v>
      </c>
      <c r="AQ456" s="17">
        <v>0</v>
      </c>
      <c r="AR456" s="9">
        <v>0</v>
      </c>
      <c r="AS456" s="9">
        <v>0</v>
      </c>
      <c r="AT456" s="17">
        <v>0</v>
      </c>
      <c r="AU456" s="9">
        <f t="shared" si="324"/>
        <v>1</v>
      </c>
      <c r="AV456" s="9">
        <f t="shared" si="325"/>
        <v>126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</row>
    <row r="457" spans="1:72" s="11" customFormat="1" ht="28" x14ac:dyDescent="0.15">
      <c r="A457" s="46"/>
      <c r="B457" s="43"/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1</v>
      </c>
      <c r="P457" s="29" t="s">
        <v>122</v>
      </c>
      <c r="Q457" s="9" t="s">
        <v>123</v>
      </c>
      <c r="R457" s="9">
        <v>120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17">
        <v>0</v>
      </c>
      <c r="AR457" s="9">
        <v>0</v>
      </c>
      <c r="AS457" s="9">
        <v>0</v>
      </c>
      <c r="AT457" s="17">
        <v>0</v>
      </c>
      <c r="AU457" s="9">
        <f t="shared" si="324"/>
        <v>1</v>
      </c>
      <c r="AV457" s="9">
        <f t="shared" si="325"/>
        <v>120</v>
      </c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</row>
    <row r="458" spans="1:72" s="11" customFormat="1" ht="13" x14ac:dyDescent="0.15">
      <c r="A458" s="46"/>
      <c r="B458" s="43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17">
        <v>0</v>
      </c>
      <c r="AR458" s="9">
        <v>0</v>
      </c>
      <c r="AS458" s="9">
        <v>0</v>
      </c>
      <c r="AT458" s="17">
        <v>0</v>
      </c>
      <c r="AU458" s="9">
        <f t="shared" si="324"/>
        <v>0</v>
      </c>
      <c r="AV458" s="9">
        <f t="shared" si="325"/>
        <v>0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</row>
    <row r="459" spans="1:72" s="11" customFormat="1" ht="13" x14ac:dyDescent="0.15">
      <c r="A459" s="46"/>
      <c r="B459" s="43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17"/>
      <c r="AR459" s="9"/>
      <c r="AS459" s="9"/>
      <c r="AT459" s="17"/>
      <c r="AU459" s="9"/>
      <c r="AV459" s="9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</row>
    <row r="460" spans="1:72" s="11" customFormat="1" ht="13" x14ac:dyDescent="0.15">
      <c r="A460" s="46"/>
      <c r="B460" s="43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17"/>
      <c r="AR460" s="9"/>
      <c r="AS460" s="9"/>
      <c r="AT460" s="17"/>
      <c r="AU460" s="9"/>
      <c r="AV460" s="9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</row>
    <row r="461" spans="1:72" s="11" customFormat="1" ht="13" x14ac:dyDescent="0.15">
      <c r="A461" s="46"/>
      <c r="B461" s="43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17"/>
      <c r="AR461" s="9"/>
      <c r="AS461" s="9"/>
      <c r="AT461" s="17"/>
      <c r="AU461" s="9"/>
      <c r="AV461" s="9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</row>
    <row r="462" spans="1:72" s="11" customFormat="1" ht="13" x14ac:dyDescent="0.15">
      <c r="A462" s="46"/>
      <c r="B462" s="43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17"/>
      <c r="AR462" s="9"/>
      <c r="AS462" s="9"/>
      <c r="AT462" s="17"/>
      <c r="AU462" s="9"/>
      <c r="AV462" s="9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</row>
    <row r="463" spans="1:72" s="11" customFormat="1" ht="13" x14ac:dyDescent="0.15">
      <c r="A463" s="46"/>
      <c r="B463" s="43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17">
        <v>0</v>
      </c>
      <c r="AR463" s="9">
        <v>0</v>
      </c>
      <c r="AS463" s="9">
        <v>0</v>
      </c>
      <c r="AT463" s="17">
        <v>0</v>
      </c>
      <c r="AU463" s="9">
        <f t="shared" si="324"/>
        <v>0</v>
      </c>
      <c r="AV463" s="9">
        <f t="shared" si="325"/>
        <v>0</v>
      </c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</row>
    <row r="464" spans="1:72" s="11" customFormat="1" ht="13" x14ac:dyDescent="0.15">
      <c r="A464" s="46"/>
      <c r="B464" s="43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17">
        <v>0</v>
      </c>
      <c r="AR464" s="9">
        <v>0</v>
      </c>
      <c r="AS464" s="9">
        <v>0</v>
      </c>
      <c r="AT464" s="17">
        <v>0</v>
      </c>
      <c r="AU464" s="9">
        <f t="shared" si="324"/>
        <v>0</v>
      </c>
      <c r="AV464" s="9">
        <f t="shared" si="325"/>
        <v>0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</row>
    <row r="465" spans="1:72" s="11" customFormat="1" ht="13" x14ac:dyDescent="0.15">
      <c r="A465" s="46"/>
      <c r="B465" s="44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17">
        <v>0</v>
      </c>
      <c r="AR465" s="9">
        <v>0</v>
      </c>
      <c r="AS465" s="9">
        <v>0</v>
      </c>
      <c r="AT465" s="17">
        <v>0</v>
      </c>
      <c r="AU465" s="9">
        <f t="shared" si="324"/>
        <v>0</v>
      </c>
      <c r="AV465" s="9">
        <f t="shared" si="325"/>
        <v>0</v>
      </c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</row>
    <row r="466" spans="1:72" s="21" customFormat="1" ht="13" x14ac:dyDescent="0.15">
      <c r="A466" s="47"/>
      <c r="B466" s="40" t="s">
        <v>18</v>
      </c>
      <c r="C466" s="23">
        <f>SUM(C453:C465)</f>
        <v>1</v>
      </c>
      <c r="D466" s="23"/>
      <c r="E466" s="23"/>
      <c r="F466" s="23">
        <f t="shared" ref="F466:AT466" si="326">SUM(F453:F465)</f>
        <v>130</v>
      </c>
      <c r="G466" s="23">
        <f t="shared" si="326"/>
        <v>0</v>
      </c>
      <c r="H466" s="23"/>
      <c r="I466" s="23"/>
      <c r="J466" s="23">
        <f t="shared" si="326"/>
        <v>0</v>
      </c>
      <c r="K466" s="23">
        <f t="shared" si="326"/>
        <v>0</v>
      </c>
      <c r="L466" s="23"/>
      <c r="M466" s="23"/>
      <c r="N466" s="23">
        <f t="shared" si="326"/>
        <v>0</v>
      </c>
      <c r="O466" s="23">
        <f t="shared" si="326"/>
        <v>1</v>
      </c>
      <c r="P466" s="23"/>
      <c r="Q466" s="23"/>
      <c r="R466" s="23">
        <f t="shared" si="326"/>
        <v>120</v>
      </c>
      <c r="S466" s="23">
        <f t="shared" si="326"/>
        <v>0</v>
      </c>
      <c r="T466" s="23"/>
      <c r="U466" s="23"/>
      <c r="V466" s="23">
        <f t="shared" si="326"/>
        <v>0</v>
      </c>
      <c r="W466" s="23">
        <f t="shared" si="326"/>
        <v>1</v>
      </c>
      <c r="X466" s="23"/>
      <c r="Y466" s="23"/>
      <c r="Z466" s="23">
        <f t="shared" si="326"/>
        <v>80</v>
      </c>
      <c r="AA466" s="23">
        <f t="shared" si="326"/>
        <v>0</v>
      </c>
      <c r="AB466" s="23"/>
      <c r="AC466" s="23"/>
      <c r="AD466" s="23">
        <f t="shared" si="326"/>
        <v>0</v>
      </c>
      <c r="AE466" s="23">
        <f t="shared" si="326"/>
        <v>0</v>
      </c>
      <c r="AF466" s="23"/>
      <c r="AG466" s="23"/>
      <c r="AH466" s="23">
        <f t="shared" si="326"/>
        <v>0</v>
      </c>
      <c r="AI466" s="23">
        <f t="shared" si="326"/>
        <v>0</v>
      </c>
      <c r="AJ466" s="23"/>
      <c r="AK466" s="23"/>
      <c r="AL466" s="23">
        <f t="shared" si="326"/>
        <v>0</v>
      </c>
      <c r="AM466" s="23">
        <f t="shared" si="326"/>
        <v>2</v>
      </c>
      <c r="AN466" s="23"/>
      <c r="AO466" s="23"/>
      <c r="AP466" s="23">
        <f t="shared" si="326"/>
        <v>252</v>
      </c>
      <c r="AQ466" s="23">
        <f t="shared" si="326"/>
        <v>0</v>
      </c>
      <c r="AR466" s="23"/>
      <c r="AS466" s="23"/>
      <c r="AT466" s="23">
        <f t="shared" si="326"/>
        <v>0</v>
      </c>
      <c r="AU466" s="23">
        <f>SUM(AU453:AU465)</f>
        <v>5</v>
      </c>
      <c r="AV466" s="23">
        <f>SUM(AV453:AV465)</f>
        <v>582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72" s="11" customFormat="1" ht="28" x14ac:dyDescent="0.15">
      <c r="A467" s="45">
        <v>35</v>
      </c>
      <c r="B467" s="42" t="s">
        <v>52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1</v>
      </c>
      <c r="X467" s="29" t="s">
        <v>75</v>
      </c>
      <c r="Y467" s="9" t="s">
        <v>62</v>
      </c>
      <c r="Z467" s="9">
        <v>80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29">
        <v>0</v>
      </c>
      <c r="AO467" s="9">
        <v>0</v>
      </c>
      <c r="AP467" s="9">
        <v>0</v>
      </c>
      <c r="AQ467" s="17">
        <v>0</v>
      </c>
      <c r="AR467" s="9">
        <v>0</v>
      </c>
      <c r="AS467" s="9">
        <v>0</v>
      </c>
      <c r="AT467" s="17">
        <v>0</v>
      </c>
      <c r="AU467" s="9">
        <f t="shared" si="324"/>
        <v>1</v>
      </c>
      <c r="AV467" s="9">
        <f t="shared" si="325"/>
        <v>80</v>
      </c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</row>
    <row r="468" spans="1:72" s="11" customFormat="1" ht="28" x14ac:dyDescent="0.15">
      <c r="A468" s="46"/>
      <c r="B468" s="43"/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1</v>
      </c>
      <c r="AN468" s="29" t="s">
        <v>80</v>
      </c>
      <c r="AO468" s="9" t="s">
        <v>79</v>
      </c>
      <c r="AP468" s="9">
        <v>106</v>
      </c>
      <c r="AQ468" s="17">
        <v>0</v>
      </c>
      <c r="AR468" s="9">
        <v>0</v>
      </c>
      <c r="AS468" s="9">
        <v>0</v>
      </c>
      <c r="AT468" s="17">
        <v>0</v>
      </c>
      <c r="AU468" s="9">
        <f t="shared" si="324"/>
        <v>1</v>
      </c>
      <c r="AV468" s="9">
        <f t="shared" si="325"/>
        <v>106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</row>
    <row r="469" spans="1:72" s="11" customFormat="1" ht="13" x14ac:dyDescent="0.15">
      <c r="A469" s="46"/>
      <c r="B469" s="43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17">
        <v>0</v>
      </c>
      <c r="AR469" s="9">
        <v>0</v>
      </c>
      <c r="AS469" s="9">
        <v>0</v>
      </c>
      <c r="AT469" s="17">
        <v>0</v>
      </c>
      <c r="AU469" s="9">
        <f t="shared" si="324"/>
        <v>0</v>
      </c>
      <c r="AV469" s="9">
        <f t="shared" si="325"/>
        <v>0</v>
      </c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</row>
    <row r="470" spans="1:72" s="11" customFormat="1" ht="13" x14ac:dyDescent="0.15">
      <c r="A470" s="46"/>
      <c r="B470" s="43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17">
        <v>0</v>
      </c>
      <c r="AR470" s="9">
        <v>0</v>
      </c>
      <c r="AS470" s="9">
        <v>0</v>
      </c>
      <c r="AT470" s="17">
        <v>0</v>
      </c>
      <c r="AU470" s="9">
        <f t="shared" si="324"/>
        <v>0</v>
      </c>
      <c r="AV470" s="9">
        <f t="shared" si="325"/>
        <v>0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</row>
    <row r="471" spans="1:72" s="11" customFormat="1" ht="13" x14ac:dyDescent="0.15">
      <c r="A471" s="46"/>
      <c r="B471" s="43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17">
        <v>0</v>
      </c>
      <c r="AR471" s="9">
        <v>0</v>
      </c>
      <c r="AS471" s="9">
        <v>0</v>
      </c>
      <c r="AT471" s="17">
        <v>0</v>
      </c>
      <c r="AU471" s="9">
        <f t="shared" si="324"/>
        <v>0</v>
      </c>
      <c r="AV471" s="9">
        <f t="shared" si="325"/>
        <v>0</v>
      </c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</row>
    <row r="472" spans="1:72" s="11" customFormat="1" ht="13" x14ac:dyDescent="0.15">
      <c r="A472" s="46"/>
      <c r="B472" s="43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17">
        <v>0</v>
      </c>
      <c r="AR472" s="9">
        <v>0</v>
      </c>
      <c r="AS472" s="9">
        <v>0</v>
      </c>
      <c r="AT472" s="17">
        <v>0</v>
      </c>
      <c r="AU472" s="9">
        <f t="shared" si="324"/>
        <v>0</v>
      </c>
      <c r="AV472" s="9">
        <f t="shared" si="325"/>
        <v>0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</row>
    <row r="473" spans="1:72" s="11" customFormat="1" ht="13" x14ac:dyDescent="0.15">
      <c r="A473" s="46"/>
      <c r="B473" s="43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17">
        <v>0</v>
      </c>
      <c r="AR473" s="9">
        <v>0</v>
      </c>
      <c r="AS473" s="9">
        <v>0</v>
      </c>
      <c r="AT473" s="17">
        <v>0</v>
      </c>
      <c r="AU473" s="9">
        <f t="shared" si="324"/>
        <v>0</v>
      </c>
      <c r="AV473" s="9">
        <f t="shared" si="325"/>
        <v>0</v>
      </c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</row>
    <row r="474" spans="1:72" s="11" customFormat="1" ht="13" x14ac:dyDescent="0.15">
      <c r="A474" s="46"/>
      <c r="B474" s="43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17">
        <v>0</v>
      </c>
      <c r="AR474" s="9">
        <v>0</v>
      </c>
      <c r="AS474" s="9">
        <v>0</v>
      </c>
      <c r="AT474" s="17">
        <v>0</v>
      </c>
      <c r="AU474" s="9">
        <f t="shared" si="324"/>
        <v>0</v>
      </c>
      <c r="AV474" s="9">
        <f t="shared" si="325"/>
        <v>0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</row>
    <row r="475" spans="1:72" s="11" customFormat="1" ht="13" x14ac:dyDescent="0.15">
      <c r="A475" s="46"/>
      <c r="B475" s="44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17">
        <v>0</v>
      </c>
      <c r="AR475" s="9">
        <v>0</v>
      </c>
      <c r="AS475" s="9">
        <v>0</v>
      </c>
      <c r="AT475" s="17">
        <v>0</v>
      </c>
      <c r="AU475" s="9">
        <f t="shared" si="324"/>
        <v>0</v>
      </c>
      <c r="AV475" s="9">
        <f t="shared" si="325"/>
        <v>0</v>
      </c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</row>
    <row r="476" spans="1:72" s="21" customFormat="1" ht="13" x14ac:dyDescent="0.15">
      <c r="A476" s="47"/>
      <c r="B476" s="40" t="s">
        <v>18</v>
      </c>
      <c r="C476" s="23">
        <f>SUM(C467:C475)</f>
        <v>0</v>
      </c>
      <c r="D476" s="23"/>
      <c r="E476" s="23"/>
      <c r="F476" s="23">
        <f t="shared" ref="F476" si="327">SUM(F467:F475)</f>
        <v>0</v>
      </c>
      <c r="G476" s="23">
        <f t="shared" ref="G476" si="328">SUM(G467:G475)</f>
        <v>0</v>
      </c>
      <c r="H476" s="23"/>
      <c r="I476" s="23"/>
      <c r="J476" s="23">
        <f t="shared" ref="J476" si="329">SUM(J467:J475)</f>
        <v>0</v>
      </c>
      <c r="K476" s="23">
        <f t="shared" ref="K476" si="330">SUM(K467:K475)</f>
        <v>0</v>
      </c>
      <c r="L476" s="23"/>
      <c r="M476" s="23"/>
      <c r="N476" s="23">
        <f t="shared" ref="N476" si="331">SUM(N467:N475)</f>
        <v>0</v>
      </c>
      <c r="O476" s="23">
        <f t="shared" ref="O476" si="332">SUM(O467:O475)</f>
        <v>0</v>
      </c>
      <c r="P476" s="23"/>
      <c r="Q476" s="23"/>
      <c r="R476" s="23">
        <f t="shared" ref="R476" si="333">SUM(R467:R475)</f>
        <v>0</v>
      </c>
      <c r="S476" s="23">
        <f t="shared" ref="S476" si="334">SUM(S467:S475)</f>
        <v>0</v>
      </c>
      <c r="T476" s="23"/>
      <c r="U476" s="23"/>
      <c r="V476" s="23">
        <f t="shared" ref="V476" si="335">SUM(V467:V475)</f>
        <v>0</v>
      </c>
      <c r="W476" s="23">
        <f t="shared" ref="W476" si="336">SUM(W467:W475)</f>
        <v>1</v>
      </c>
      <c r="X476" s="23"/>
      <c r="Y476" s="23"/>
      <c r="Z476" s="23">
        <f t="shared" ref="Z476" si="337">SUM(Z467:Z475)</f>
        <v>80</v>
      </c>
      <c r="AA476" s="23">
        <f t="shared" ref="AA476" si="338">SUM(AA467:AA475)</f>
        <v>0</v>
      </c>
      <c r="AB476" s="23"/>
      <c r="AC476" s="23"/>
      <c r="AD476" s="23">
        <f t="shared" ref="AD476" si="339">SUM(AD467:AD475)</f>
        <v>0</v>
      </c>
      <c r="AE476" s="23">
        <f t="shared" ref="AE476" si="340">SUM(AE467:AE475)</f>
        <v>0</v>
      </c>
      <c r="AF476" s="23"/>
      <c r="AG476" s="23"/>
      <c r="AH476" s="23">
        <f t="shared" ref="AH476" si="341">SUM(AH467:AH475)</f>
        <v>0</v>
      </c>
      <c r="AI476" s="23">
        <f t="shared" ref="AI476" si="342">SUM(AI467:AI475)</f>
        <v>0</v>
      </c>
      <c r="AJ476" s="23"/>
      <c r="AK476" s="23"/>
      <c r="AL476" s="23">
        <f t="shared" ref="AL476" si="343">SUM(AL467:AL475)</f>
        <v>0</v>
      </c>
      <c r="AM476" s="23">
        <f t="shared" ref="AM476" si="344">SUM(AM467:AM475)</f>
        <v>1</v>
      </c>
      <c r="AN476" s="23"/>
      <c r="AO476" s="23"/>
      <c r="AP476" s="23">
        <f t="shared" ref="AP476:AT476" si="345">SUM(AP467:AP475)</f>
        <v>106</v>
      </c>
      <c r="AQ476" s="23">
        <f t="shared" si="345"/>
        <v>0</v>
      </c>
      <c r="AR476" s="23"/>
      <c r="AS476" s="23"/>
      <c r="AT476" s="23">
        <f t="shared" si="345"/>
        <v>0</v>
      </c>
      <c r="AU476" s="23">
        <f>SUM(AU467:AU475)</f>
        <v>2</v>
      </c>
      <c r="AV476" s="23">
        <f>SUM(AV467:AV475)</f>
        <v>186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72" s="11" customFormat="1" ht="28" x14ac:dyDescent="0.15">
      <c r="A477" s="45">
        <v>36</v>
      </c>
      <c r="B477" s="42" t="s">
        <v>53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2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1</v>
      </c>
      <c r="AN477" s="29" t="s">
        <v>76</v>
      </c>
      <c r="AO477" s="9" t="s">
        <v>62</v>
      </c>
      <c r="AP477" s="9">
        <v>80</v>
      </c>
      <c r="AQ477" s="17">
        <v>0</v>
      </c>
      <c r="AR477" s="9">
        <v>0</v>
      </c>
      <c r="AS477" s="9">
        <v>0</v>
      </c>
      <c r="AT477" s="17">
        <v>0</v>
      </c>
      <c r="AU477" s="9">
        <f t="shared" si="324"/>
        <v>1</v>
      </c>
      <c r="AV477" s="9">
        <f t="shared" si="325"/>
        <v>80</v>
      </c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</row>
    <row r="478" spans="1:72" s="11" customFormat="1" ht="28" x14ac:dyDescent="0.15">
      <c r="A478" s="46"/>
      <c r="B478" s="43"/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1</v>
      </c>
      <c r="T478" s="29" t="s">
        <v>96</v>
      </c>
      <c r="U478" s="9" t="s">
        <v>97</v>
      </c>
      <c r="V478" s="9">
        <v>40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f t="shared" ref="AU478" si="346">SUM(C478+G478+K478+O478+S478+W478+AA478+AE478+AI478+AM478+AQ478)</f>
        <v>1</v>
      </c>
      <c r="AV478" s="9">
        <f t="shared" ref="AV478" si="347">SUM(F478+J478+N478+R478+V478+Z478+AD478+AH478+AL478+AP478+AT478)</f>
        <v>40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</row>
    <row r="479" spans="1:72" s="11" customFormat="1" ht="28" x14ac:dyDescent="0.15">
      <c r="A479" s="46"/>
      <c r="B479" s="43"/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1</v>
      </c>
      <c r="X479" s="29" t="s">
        <v>89</v>
      </c>
      <c r="Y479" s="9" t="s">
        <v>62</v>
      </c>
      <c r="Z479" s="9">
        <v>80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17">
        <v>0</v>
      </c>
      <c r="AR479" s="9">
        <v>0</v>
      </c>
      <c r="AS479" s="9">
        <v>0</v>
      </c>
      <c r="AT479" s="17">
        <v>0</v>
      </c>
      <c r="AU479" s="9">
        <f t="shared" si="324"/>
        <v>1</v>
      </c>
      <c r="AV479" s="9">
        <f t="shared" si="325"/>
        <v>80</v>
      </c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 spans="1:72" s="11" customFormat="1" ht="28" x14ac:dyDescent="0.15">
      <c r="A480" s="46"/>
      <c r="B480" s="43"/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1</v>
      </c>
      <c r="AN480" s="29" t="s">
        <v>110</v>
      </c>
      <c r="AO480" s="9" t="s">
        <v>70</v>
      </c>
      <c r="AP480" s="9">
        <v>160</v>
      </c>
      <c r="AQ480" s="17">
        <v>0</v>
      </c>
      <c r="AR480" s="9">
        <v>0</v>
      </c>
      <c r="AS480" s="9">
        <v>0</v>
      </c>
      <c r="AT480" s="17">
        <v>0</v>
      </c>
      <c r="AU480" s="9">
        <f t="shared" si="324"/>
        <v>1</v>
      </c>
      <c r="AV480" s="9">
        <f t="shared" si="325"/>
        <v>160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</row>
    <row r="481" spans="1:72" s="11" customFormat="1" ht="28" x14ac:dyDescent="0.15">
      <c r="A481" s="46"/>
      <c r="B481" s="43"/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1</v>
      </c>
      <c r="T481" s="29" t="s">
        <v>127</v>
      </c>
      <c r="U481" s="9" t="s">
        <v>93</v>
      </c>
      <c r="V481" s="9">
        <v>54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17">
        <v>0</v>
      </c>
      <c r="AR481" s="9">
        <v>0</v>
      </c>
      <c r="AS481" s="9">
        <v>0</v>
      </c>
      <c r="AT481" s="17">
        <v>0</v>
      </c>
      <c r="AU481" s="9">
        <f t="shared" si="324"/>
        <v>1</v>
      </c>
      <c r="AV481" s="9">
        <f t="shared" si="325"/>
        <v>54</v>
      </c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</row>
    <row r="482" spans="1:72" s="11" customFormat="1" ht="13" x14ac:dyDescent="0.15">
      <c r="A482" s="46"/>
      <c r="B482" s="43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17">
        <v>0</v>
      </c>
      <c r="AR482" s="9">
        <v>0</v>
      </c>
      <c r="AS482" s="9">
        <v>0</v>
      </c>
      <c r="AT482" s="17">
        <v>0</v>
      </c>
      <c r="AU482" s="9">
        <f t="shared" si="324"/>
        <v>0</v>
      </c>
      <c r="AV482" s="9">
        <f t="shared" si="325"/>
        <v>0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</row>
    <row r="483" spans="1:72" s="11" customFormat="1" ht="13" x14ac:dyDescent="0.15">
      <c r="A483" s="46"/>
      <c r="B483" s="43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17">
        <v>0</v>
      </c>
      <c r="AR483" s="9">
        <v>0</v>
      </c>
      <c r="AS483" s="9">
        <v>0</v>
      </c>
      <c r="AT483" s="17">
        <v>0</v>
      </c>
      <c r="AU483" s="9">
        <f t="shared" si="324"/>
        <v>0</v>
      </c>
      <c r="AV483" s="9">
        <f t="shared" si="325"/>
        <v>0</v>
      </c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</row>
    <row r="484" spans="1:72" s="11" customFormat="1" ht="13" x14ac:dyDescent="0.15">
      <c r="A484" s="46"/>
      <c r="B484" s="43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17">
        <v>0</v>
      </c>
      <c r="AR484" s="9">
        <v>0</v>
      </c>
      <c r="AS484" s="9">
        <v>0</v>
      </c>
      <c r="AT484" s="17">
        <v>0</v>
      </c>
      <c r="AU484" s="9">
        <f t="shared" si="324"/>
        <v>0</v>
      </c>
      <c r="AV484" s="9">
        <f t="shared" si="325"/>
        <v>0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</row>
    <row r="485" spans="1:72" s="11" customFormat="1" ht="13" x14ac:dyDescent="0.15">
      <c r="A485" s="46"/>
      <c r="B485" s="43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17">
        <v>0</v>
      </c>
      <c r="AR485" s="9">
        <v>0</v>
      </c>
      <c r="AS485" s="9">
        <v>0</v>
      </c>
      <c r="AT485" s="17">
        <v>0</v>
      </c>
      <c r="AU485" s="9">
        <f t="shared" si="324"/>
        <v>0</v>
      </c>
      <c r="AV485" s="9">
        <f t="shared" si="325"/>
        <v>0</v>
      </c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</row>
    <row r="486" spans="1:72" s="11" customFormat="1" ht="13" x14ac:dyDescent="0.15">
      <c r="A486" s="46"/>
      <c r="B486" s="44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17">
        <v>0</v>
      </c>
      <c r="AR486" s="9">
        <v>0</v>
      </c>
      <c r="AS486" s="9">
        <v>0</v>
      </c>
      <c r="AT486" s="17">
        <v>0</v>
      </c>
      <c r="AU486" s="9">
        <f t="shared" si="324"/>
        <v>0</v>
      </c>
      <c r="AV486" s="9">
        <f t="shared" si="325"/>
        <v>0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</row>
    <row r="487" spans="1:72" s="21" customFormat="1" ht="13" x14ac:dyDescent="0.15">
      <c r="A487" s="47"/>
      <c r="B487" s="40" t="s">
        <v>18</v>
      </c>
      <c r="C487" s="23">
        <f>SUM(C477:C486)</f>
        <v>0</v>
      </c>
      <c r="D487" s="23"/>
      <c r="E487" s="23"/>
      <c r="F487" s="23">
        <f t="shared" ref="F487:AT487" si="348">SUM(F477:F486)</f>
        <v>0</v>
      </c>
      <c r="G487" s="23">
        <f t="shared" si="348"/>
        <v>0</v>
      </c>
      <c r="H487" s="23"/>
      <c r="I487" s="23"/>
      <c r="J487" s="23">
        <f t="shared" si="348"/>
        <v>0</v>
      </c>
      <c r="K487" s="23">
        <f t="shared" si="348"/>
        <v>0</v>
      </c>
      <c r="L487" s="23"/>
      <c r="M487" s="23"/>
      <c r="N487" s="23">
        <f t="shared" si="348"/>
        <v>0</v>
      </c>
      <c r="O487" s="23">
        <f t="shared" si="348"/>
        <v>0</v>
      </c>
      <c r="P487" s="23"/>
      <c r="Q487" s="23"/>
      <c r="R487" s="23">
        <f t="shared" si="348"/>
        <v>0</v>
      </c>
      <c r="S487" s="23">
        <f t="shared" si="348"/>
        <v>2</v>
      </c>
      <c r="T487" s="23"/>
      <c r="U487" s="23"/>
      <c r="V487" s="23">
        <f t="shared" si="348"/>
        <v>94</v>
      </c>
      <c r="W487" s="23">
        <f t="shared" si="348"/>
        <v>1</v>
      </c>
      <c r="X487" s="23"/>
      <c r="Y487" s="23"/>
      <c r="Z487" s="23">
        <f t="shared" si="348"/>
        <v>80</v>
      </c>
      <c r="AA487" s="23">
        <f t="shared" si="348"/>
        <v>0</v>
      </c>
      <c r="AB487" s="23"/>
      <c r="AC487" s="23"/>
      <c r="AD487" s="23">
        <f t="shared" si="348"/>
        <v>0</v>
      </c>
      <c r="AE487" s="23">
        <f t="shared" si="348"/>
        <v>0</v>
      </c>
      <c r="AF487" s="23"/>
      <c r="AG487" s="23"/>
      <c r="AH487" s="23">
        <f t="shared" si="348"/>
        <v>0</v>
      </c>
      <c r="AI487" s="23">
        <f t="shared" si="348"/>
        <v>0</v>
      </c>
      <c r="AJ487" s="23"/>
      <c r="AK487" s="23"/>
      <c r="AL487" s="23">
        <f t="shared" si="348"/>
        <v>0</v>
      </c>
      <c r="AM487" s="23">
        <f t="shared" si="348"/>
        <v>2</v>
      </c>
      <c r="AN487" s="23"/>
      <c r="AO487" s="23"/>
      <c r="AP487" s="23">
        <f t="shared" si="348"/>
        <v>240</v>
      </c>
      <c r="AQ487" s="23">
        <f t="shared" si="348"/>
        <v>0</v>
      </c>
      <c r="AR487" s="23"/>
      <c r="AS487" s="23"/>
      <c r="AT487" s="23">
        <f t="shared" si="348"/>
        <v>0</v>
      </c>
      <c r="AU487" s="23">
        <f>SUM(AU477:AU486)</f>
        <v>5</v>
      </c>
      <c r="AV487" s="23">
        <f>SUM(AV477:AV486)</f>
        <v>414</v>
      </c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72" s="11" customFormat="1" ht="27" customHeight="1" x14ac:dyDescent="0.15">
      <c r="A488" s="45">
        <v>37</v>
      </c>
      <c r="B488" s="42" t="s">
        <v>54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  <c r="P488" s="9">
        <v>0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1</v>
      </c>
      <c r="X488" s="29" t="s">
        <v>64</v>
      </c>
      <c r="Y488" s="9" t="s">
        <v>62</v>
      </c>
      <c r="Z488" s="9">
        <v>80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0</v>
      </c>
      <c r="AN488" s="9">
        <v>0</v>
      </c>
      <c r="AO488" s="9">
        <v>0</v>
      </c>
      <c r="AP488" s="9">
        <v>0</v>
      </c>
      <c r="AQ488" s="17">
        <v>0</v>
      </c>
      <c r="AR488" s="9">
        <v>0</v>
      </c>
      <c r="AS488" s="9">
        <v>0</v>
      </c>
      <c r="AT488" s="17">
        <v>0</v>
      </c>
      <c r="AU488" s="9">
        <f t="shared" si="324"/>
        <v>1</v>
      </c>
      <c r="AV488" s="9">
        <f t="shared" si="325"/>
        <v>80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</row>
    <row r="489" spans="1:72" s="11" customFormat="1" ht="27" customHeight="1" x14ac:dyDescent="0.15">
      <c r="A489" s="46"/>
      <c r="B489" s="43"/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1</v>
      </c>
      <c r="X489" s="29" t="s">
        <v>75</v>
      </c>
      <c r="Y489" s="9" t="s">
        <v>62</v>
      </c>
      <c r="Z489" s="9">
        <v>80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17">
        <v>0</v>
      </c>
      <c r="AR489" s="9">
        <v>0</v>
      </c>
      <c r="AS489" s="9">
        <v>0</v>
      </c>
      <c r="AT489" s="17">
        <v>0</v>
      </c>
      <c r="AU489" s="9">
        <f t="shared" si="324"/>
        <v>1</v>
      </c>
      <c r="AV489" s="9">
        <f t="shared" si="325"/>
        <v>80</v>
      </c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</row>
    <row r="490" spans="1:72" s="11" customFormat="1" ht="27" customHeight="1" x14ac:dyDescent="0.15">
      <c r="A490" s="46"/>
      <c r="B490" s="43"/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2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1</v>
      </c>
      <c r="AN490" s="29" t="s">
        <v>76</v>
      </c>
      <c r="AO490" s="9" t="s">
        <v>62</v>
      </c>
      <c r="AP490" s="9">
        <v>80</v>
      </c>
      <c r="AQ490" s="17">
        <v>0</v>
      </c>
      <c r="AR490" s="9">
        <v>0</v>
      </c>
      <c r="AS490" s="9">
        <v>0</v>
      </c>
      <c r="AT490" s="17">
        <v>0</v>
      </c>
      <c r="AU490" s="9">
        <f t="shared" si="324"/>
        <v>1</v>
      </c>
      <c r="AV490" s="9">
        <f t="shared" si="325"/>
        <v>80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</row>
    <row r="491" spans="1:72" s="11" customFormat="1" ht="27" customHeight="1" x14ac:dyDescent="0.15">
      <c r="A491" s="46"/>
      <c r="B491" s="43"/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17">
        <v>1</v>
      </c>
      <c r="AR491" s="37" t="s">
        <v>117</v>
      </c>
      <c r="AS491" s="9" t="s">
        <v>83</v>
      </c>
      <c r="AT491" s="17">
        <v>30</v>
      </c>
      <c r="AU491" s="9">
        <f t="shared" si="324"/>
        <v>1</v>
      </c>
      <c r="AV491" s="9">
        <f t="shared" si="325"/>
        <v>30</v>
      </c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</row>
    <row r="492" spans="1:72" s="11" customFormat="1" ht="27" customHeight="1" x14ac:dyDescent="0.15">
      <c r="A492" s="46"/>
      <c r="B492" s="43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2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17">
        <v>0</v>
      </c>
      <c r="AR492" s="9">
        <v>0</v>
      </c>
      <c r="AS492" s="9">
        <v>0</v>
      </c>
      <c r="AT492" s="17">
        <v>0</v>
      </c>
      <c r="AU492" s="9">
        <f t="shared" si="324"/>
        <v>0</v>
      </c>
      <c r="AV492" s="9">
        <f t="shared" si="325"/>
        <v>0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</row>
    <row r="493" spans="1:72" s="11" customFormat="1" ht="27" customHeight="1" x14ac:dyDescent="0.15">
      <c r="A493" s="46"/>
      <c r="B493" s="43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2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17"/>
      <c r="AR493" s="9"/>
      <c r="AS493" s="9"/>
      <c r="AT493" s="17"/>
      <c r="AU493" s="9"/>
      <c r="AV493" s="9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</row>
    <row r="494" spans="1:72" s="11" customFormat="1" ht="27" customHeight="1" x14ac:dyDescent="0.15">
      <c r="A494" s="46"/>
      <c r="B494" s="43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2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17"/>
      <c r="AR494" s="9"/>
      <c r="AS494" s="9"/>
      <c r="AT494" s="17"/>
      <c r="AU494" s="9"/>
      <c r="AV494" s="9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</row>
    <row r="495" spans="1:72" s="11" customFormat="1" ht="27" customHeight="1" x14ac:dyDescent="0.15">
      <c r="A495" s="46"/>
      <c r="B495" s="43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2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17"/>
      <c r="AR495" s="9"/>
      <c r="AS495" s="9"/>
      <c r="AT495" s="17"/>
      <c r="AU495" s="9"/>
      <c r="AV495" s="9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</row>
    <row r="496" spans="1:72" s="11" customFormat="1" ht="27" customHeight="1" x14ac:dyDescent="0.15">
      <c r="A496" s="46"/>
      <c r="B496" s="43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2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17">
        <v>0</v>
      </c>
      <c r="AR496" s="9">
        <v>0</v>
      </c>
      <c r="AS496" s="9">
        <v>0</v>
      </c>
      <c r="AT496" s="17">
        <v>0</v>
      </c>
      <c r="AU496" s="9">
        <f t="shared" si="324"/>
        <v>0</v>
      </c>
      <c r="AV496" s="9">
        <f t="shared" si="325"/>
        <v>0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</row>
    <row r="497" spans="1:72" s="11" customFormat="1" ht="13" x14ac:dyDescent="0.15">
      <c r="A497" s="46"/>
      <c r="B497" s="43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17">
        <v>0</v>
      </c>
      <c r="AR497" s="9">
        <v>0</v>
      </c>
      <c r="AS497" s="9">
        <v>0</v>
      </c>
      <c r="AT497" s="17">
        <v>0</v>
      </c>
      <c r="AU497" s="9">
        <f t="shared" si="324"/>
        <v>0</v>
      </c>
      <c r="AV497" s="9">
        <f t="shared" si="325"/>
        <v>0</v>
      </c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</row>
    <row r="498" spans="1:72" s="11" customFormat="1" ht="13" x14ac:dyDescent="0.15">
      <c r="A498" s="46"/>
      <c r="B498" s="44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17">
        <v>0</v>
      </c>
      <c r="AR498" s="9">
        <v>0</v>
      </c>
      <c r="AS498" s="9">
        <v>0</v>
      </c>
      <c r="AT498" s="17">
        <v>0</v>
      </c>
      <c r="AU498" s="9">
        <f t="shared" si="324"/>
        <v>0</v>
      </c>
      <c r="AV498" s="9">
        <f t="shared" si="325"/>
        <v>0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</row>
    <row r="499" spans="1:72" s="21" customFormat="1" ht="13" x14ac:dyDescent="0.15">
      <c r="A499" s="47"/>
      <c r="B499" s="40" t="s">
        <v>18</v>
      </c>
      <c r="C499" s="23">
        <f>SUM(C488:C498)</f>
        <v>0</v>
      </c>
      <c r="D499" s="23"/>
      <c r="E499" s="23"/>
      <c r="F499" s="23">
        <f t="shared" ref="F499:AT499" si="349">SUM(F488:F498)</f>
        <v>0</v>
      </c>
      <c r="G499" s="23">
        <f t="shared" si="349"/>
        <v>0</v>
      </c>
      <c r="H499" s="23"/>
      <c r="I499" s="23"/>
      <c r="J499" s="23">
        <f t="shared" si="349"/>
        <v>0</v>
      </c>
      <c r="K499" s="23">
        <f t="shared" si="349"/>
        <v>0</v>
      </c>
      <c r="L499" s="23"/>
      <c r="M499" s="23"/>
      <c r="N499" s="23">
        <f t="shared" si="349"/>
        <v>0</v>
      </c>
      <c r="O499" s="23">
        <f t="shared" si="349"/>
        <v>0</v>
      </c>
      <c r="P499" s="23"/>
      <c r="Q499" s="23"/>
      <c r="R499" s="23">
        <f t="shared" si="349"/>
        <v>0</v>
      </c>
      <c r="S499" s="23">
        <f t="shared" si="349"/>
        <v>0</v>
      </c>
      <c r="T499" s="23"/>
      <c r="U499" s="23"/>
      <c r="V499" s="23">
        <f t="shared" si="349"/>
        <v>0</v>
      </c>
      <c r="W499" s="23">
        <f t="shared" si="349"/>
        <v>2</v>
      </c>
      <c r="X499" s="23"/>
      <c r="Y499" s="23"/>
      <c r="Z499" s="23">
        <f t="shared" si="349"/>
        <v>160</v>
      </c>
      <c r="AA499" s="23">
        <f t="shared" si="349"/>
        <v>0</v>
      </c>
      <c r="AB499" s="23"/>
      <c r="AC499" s="23"/>
      <c r="AD499" s="23">
        <f t="shared" si="349"/>
        <v>0</v>
      </c>
      <c r="AE499" s="23">
        <f t="shared" si="349"/>
        <v>0</v>
      </c>
      <c r="AF499" s="23"/>
      <c r="AG499" s="23"/>
      <c r="AH499" s="23">
        <f t="shared" si="349"/>
        <v>0</v>
      </c>
      <c r="AI499" s="23">
        <f t="shared" si="349"/>
        <v>0</v>
      </c>
      <c r="AJ499" s="23"/>
      <c r="AK499" s="23"/>
      <c r="AL499" s="23">
        <f t="shared" si="349"/>
        <v>0</v>
      </c>
      <c r="AM499" s="23">
        <f t="shared" si="349"/>
        <v>1</v>
      </c>
      <c r="AN499" s="23"/>
      <c r="AO499" s="23"/>
      <c r="AP499" s="23">
        <f t="shared" si="349"/>
        <v>80</v>
      </c>
      <c r="AQ499" s="23">
        <f t="shared" si="349"/>
        <v>1</v>
      </c>
      <c r="AR499" s="23"/>
      <c r="AS499" s="23"/>
      <c r="AT499" s="23">
        <f t="shared" si="349"/>
        <v>30</v>
      </c>
      <c r="AU499" s="23">
        <f>SUM(AU488:AU498)</f>
        <v>4</v>
      </c>
      <c r="AV499" s="23">
        <f>SUM(AV488:AV498)</f>
        <v>270</v>
      </c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72" s="11" customFormat="1" ht="24.75" customHeight="1" x14ac:dyDescent="0.15">
      <c r="A500" s="45">
        <v>38</v>
      </c>
      <c r="B500" s="61" t="s">
        <v>55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1</v>
      </c>
      <c r="X500" s="29" t="s">
        <v>61</v>
      </c>
      <c r="Y500" s="9" t="s">
        <v>62</v>
      </c>
      <c r="Z500" s="9">
        <v>80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17">
        <v>0</v>
      </c>
      <c r="AR500" s="9">
        <v>0</v>
      </c>
      <c r="AS500" s="9">
        <v>0</v>
      </c>
      <c r="AT500" s="17">
        <v>0</v>
      </c>
      <c r="AU500" s="9">
        <f t="shared" si="324"/>
        <v>1</v>
      </c>
      <c r="AV500" s="9">
        <f t="shared" si="325"/>
        <v>80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</row>
    <row r="501" spans="1:72" s="11" customFormat="1" ht="24.75" customHeight="1" x14ac:dyDescent="0.15">
      <c r="A501" s="46"/>
      <c r="B501" s="62"/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1</v>
      </c>
      <c r="X501" s="29" t="s">
        <v>75</v>
      </c>
      <c r="Y501" s="9" t="s">
        <v>62</v>
      </c>
      <c r="Z501" s="9">
        <v>80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17">
        <v>0</v>
      </c>
      <c r="AR501" s="9">
        <v>0</v>
      </c>
      <c r="AS501" s="9">
        <v>0</v>
      </c>
      <c r="AT501" s="17">
        <v>0</v>
      </c>
      <c r="AU501" s="9">
        <f t="shared" si="324"/>
        <v>1</v>
      </c>
      <c r="AV501" s="9">
        <f t="shared" si="325"/>
        <v>80</v>
      </c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</row>
    <row r="502" spans="1:72" s="11" customFormat="1" ht="24.75" customHeight="1" x14ac:dyDescent="0.15">
      <c r="A502" s="46"/>
      <c r="B502" s="62"/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1</v>
      </c>
      <c r="AN502" s="29" t="s">
        <v>84</v>
      </c>
      <c r="AO502" s="9" t="s">
        <v>60</v>
      </c>
      <c r="AP502" s="9">
        <v>210</v>
      </c>
      <c r="AQ502" s="17">
        <v>0</v>
      </c>
      <c r="AR502" s="9">
        <v>0</v>
      </c>
      <c r="AS502" s="9">
        <v>0</v>
      </c>
      <c r="AT502" s="17">
        <v>0</v>
      </c>
      <c r="AU502" s="9">
        <f t="shared" si="324"/>
        <v>1</v>
      </c>
      <c r="AV502" s="9">
        <f t="shared" si="325"/>
        <v>210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</row>
    <row r="503" spans="1:72" s="11" customFormat="1" ht="24.75" customHeight="1" x14ac:dyDescent="0.15">
      <c r="A503" s="46"/>
      <c r="B503" s="62"/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1</v>
      </c>
      <c r="X503" s="29" t="s">
        <v>89</v>
      </c>
      <c r="Y503" s="9" t="s">
        <v>70</v>
      </c>
      <c r="Z503" s="9">
        <v>80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0</v>
      </c>
      <c r="AO503" s="9">
        <v>0</v>
      </c>
      <c r="AP503" s="9">
        <v>0</v>
      </c>
      <c r="AQ503" s="17">
        <v>0</v>
      </c>
      <c r="AR503" s="9">
        <v>0</v>
      </c>
      <c r="AS503" s="9">
        <v>0</v>
      </c>
      <c r="AT503" s="17">
        <v>0</v>
      </c>
      <c r="AU503" s="9">
        <f t="shared" si="324"/>
        <v>1</v>
      </c>
      <c r="AV503" s="9">
        <f t="shared" si="325"/>
        <v>80</v>
      </c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</row>
    <row r="504" spans="1:72" s="11" customFormat="1" ht="24.75" customHeight="1" x14ac:dyDescent="0.15">
      <c r="A504" s="46"/>
      <c r="B504" s="62"/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1</v>
      </c>
      <c r="AN504" s="29" t="s">
        <v>113</v>
      </c>
      <c r="AO504" s="29" t="s">
        <v>99</v>
      </c>
      <c r="AP504" s="9">
        <v>126</v>
      </c>
      <c r="AQ504" s="17">
        <v>0</v>
      </c>
      <c r="AR504" s="9">
        <v>0</v>
      </c>
      <c r="AS504" s="9">
        <v>0</v>
      </c>
      <c r="AT504" s="17">
        <v>0</v>
      </c>
      <c r="AU504" s="9">
        <f t="shared" si="324"/>
        <v>1</v>
      </c>
      <c r="AV504" s="9">
        <f t="shared" si="325"/>
        <v>126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</row>
    <row r="505" spans="1:72" s="11" customFormat="1" ht="24.75" customHeight="1" x14ac:dyDescent="0.15">
      <c r="A505" s="46"/>
      <c r="B505" s="62"/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1</v>
      </c>
      <c r="X505" s="29" t="s">
        <v>122</v>
      </c>
      <c r="Y505" s="9" t="s">
        <v>123</v>
      </c>
      <c r="Z505" s="9">
        <v>120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17">
        <v>0</v>
      </c>
      <c r="AR505" s="9">
        <v>0</v>
      </c>
      <c r="AS505" s="9">
        <v>0</v>
      </c>
      <c r="AT505" s="17">
        <v>0</v>
      </c>
      <c r="AU505" s="9">
        <f t="shared" si="324"/>
        <v>1</v>
      </c>
      <c r="AV505" s="9">
        <f t="shared" si="325"/>
        <v>120</v>
      </c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</row>
    <row r="506" spans="1:72" s="11" customFormat="1" ht="24.75" customHeight="1" x14ac:dyDescent="0.15">
      <c r="A506" s="46"/>
      <c r="B506" s="6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2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17"/>
      <c r="AR506" s="9"/>
      <c r="AS506" s="9"/>
      <c r="AT506" s="17"/>
      <c r="AU506" s="9"/>
      <c r="AV506" s="9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</row>
    <row r="507" spans="1:72" s="11" customFormat="1" ht="24.75" customHeight="1" x14ac:dyDescent="0.15">
      <c r="A507" s="46"/>
      <c r="B507" s="6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2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17"/>
      <c r="AR507" s="9"/>
      <c r="AS507" s="9"/>
      <c r="AT507" s="17"/>
      <c r="AU507" s="9"/>
      <c r="AV507" s="9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</row>
    <row r="508" spans="1:72" s="11" customFormat="1" ht="24.75" customHeight="1" x14ac:dyDescent="0.15">
      <c r="A508" s="46"/>
      <c r="B508" s="6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2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17"/>
      <c r="AR508" s="9"/>
      <c r="AS508" s="9"/>
      <c r="AT508" s="17"/>
      <c r="AU508" s="9"/>
      <c r="AV508" s="9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</row>
    <row r="509" spans="1:72" s="11" customFormat="1" ht="24.75" customHeight="1" x14ac:dyDescent="0.15">
      <c r="A509" s="46"/>
      <c r="B509" s="6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2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17"/>
      <c r="AR509" s="9"/>
      <c r="AS509" s="9"/>
      <c r="AT509" s="17"/>
      <c r="AU509" s="9"/>
      <c r="AV509" s="9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</row>
    <row r="510" spans="1:72" s="11" customFormat="1" ht="24.75" customHeight="1" x14ac:dyDescent="0.15">
      <c r="A510" s="46"/>
      <c r="B510" s="6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2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17">
        <v>0</v>
      </c>
      <c r="AR510" s="9">
        <v>0</v>
      </c>
      <c r="AS510" s="9">
        <v>0</v>
      </c>
      <c r="AT510" s="17">
        <v>0</v>
      </c>
      <c r="AU510" s="9">
        <f t="shared" si="324"/>
        <v>0</v>
      </c>
      <c r="AV510" s="9">
        <f t="shared" si="325"/>
        <v>0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</row>
    <row r="511" spans="1:72" s="11" customFormat="1" ht="13" x14ac:dyDescent="0.15">
      <c r="A511" s="46"/>
      <c r="B511" s="6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17">
        <v>0</v>
      </c>
      <c r="AR511" s="9">
        <v>0</v>
      </c>
      <c r="AS511" s="9">
        <v>0</v>
      </c>
      <c r="AT511" s="17">
        <v>0</v>
      </c>
      <c r="AU511" s="9">
        <f t="shared" si="324"/>
        <v>0</v>
      </c>
      <c r="AV511" s="9">
        <f t="shared" si="325"/>
        <v>0</v>
      </c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</row>
    <row r="512" spans="1:72" s="11" customFormat="1" ht="13" x14ac:dyDescent="0.15">
      <c r="A512" s="46"/>
      <c r="B512" s="63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17">
        <v>0</v>
      </c>
      <c r="AR512" s="9">
        <v>0</v>
      </c>
      <c r="AS512" s="9">
        <v>0</v>
      </c>
      <c r="AT512" s="17">
        <v>0</v>
      </c>
      <c r="AU512" s="9">
        <f t="shared" si="324"/>
        <v>0</v>
      </c>
      <c r="AV512" s="9">
        <f t="shared" si="325"/>
        <v>0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</row>
    <row r="513" spans="1:72" s="21" customFormat="1" ht="13" x14ac:dyDescent="0.15">
      <c r="A513" s="47"/>
      <c r="B513" s="40" t="s">
        <v>18</v>
      </c>
      <c r="C513" s="23">
        <f>SUM(C500:C512)</f>
        <v>0</v>
      </c>
      <c r="D513" s="23"/>
      <c r="E513" s="23"/>
      <c r="F513" s="23">
        <f t="shared" ref="F513:AT513" si="350">SUM(F500:F512)</f>
        <v>0</v>
      </c>
      <c r="G513" s="23">
        <f t="shared" si="350"/>
        <v>0</v>
      </c>
      <c r="H513" s="23"/>
      <c r="I513" s="23"/>
      <c r="J513" s="23">
        <f t="shared" si="350"/>
        <v>0</v>
      </c>
      <c r="K513" s="23">
        <f t="shared" si="350"/>
        <v>0</v>
      </c>
      <c r="L513" s="23"/>
      <c r="M513" s="23"/>
      <c r="N513" s="23">
        <f t="shared" si="350"/>
        <v>0</v>
      </c>
      <c r="O513" s="23">
        <f t="shared" si="350"/>
        <v>0</v>
      </c>
      <c r="P513" s="23"/>
      <c r="Q513" s="23"/>
      <c r="R513" s="23">
        <f t="shared" si="350"/>
        <v>0</v>
      </c>
      <c r="S513" s="23">
        <f t="shared" si="350"/>
        <v>0</v>
      </c>
      <c r="T513" s="23"/>
      <c r="U513" s="23"/>
      <c r="V513" s="23">
        <f t="shared" si="350"/>
        <v>0</v>
      </c>
      <c r="W513" s="23">
        <f t="shared" si="350"/>
        <v>4</v>
      </c>
      <c r="X513" s="23"/>
      <c r="Y513" s="23"/>
      <c r="Z513" s="23">
        <f t="shared" si="350"/>
        <v>360</v>
      </c>
      <c r="AA513" s="23">
        <f t="shared" si="350"/>
        <v>0</v>
      </c>
      <c r="AB513" s="23"/>
      <c r="AC513" s="23"/>
      <c r="AD513" s="23">
        <f t="shared" si="350"/>
        <v>0</v>
      </c>
      <c r="AE513" s="23">
        <f t="shared" si="350"/>
        <v>0</v>
      </c>
      <c r="AF513" s="23"/>
      <c r="AG513" s="23"/>
      <c r="AH513" s="23">
        <f t="shared" si="350"/>
        <v>0</v>
      </c>
      <c r="AI513" s="23">
        <f t="shared" si="350"/>
        <v>0</v>
      </c>
      <c r="AJ513" s="23"/>
      <c r="AK513" s="23"/>
      <c r="AL513" s="23">
        <f t="shared" si="350"/>
        <v>0</v>
      </c>
      <c r="AM513" s="23">
        <f t="shared" si="350"/>
        <v>2</v>
      </c>
      <c r="AN513" s="23"/>
      <c r="AO513" s="23"/>
      <c r="AP513" s="23">
        <f t="shared" si="350"/>
        <v>336</v>
      </c>
      <c r="AQ513" s="23">
        <f t="shared" si="350"/>
        <v>0</v>
      </c>
      <c r="AR513" s="23"/>
      <c r="AS513" s="23"/>
      <c r="AT513" s="23">
        <f t="shared" si="350"/>
        <v>0</v>
      </c>
      <c r="AU513" s="23">
        <f>SUM(AU500:AU512)</f>
        <v>6</v>
      </c>
      <c r="AV513" s="23">
        <f>SUM(AV500:AV512)</f>
        <v>696</v>
      </c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72" s="11" customFormat="1" ht="27" customHeight="1" x14ac:dyDescent="0.15">
      <c r="A514" s="45">
        <v>39</v>
      </c>
      <c r="B514" s="58" t="s">
        <v>56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1</v>
      </c>
      <c r="X514" s="29" t="s">
        <v>61</v>
      </c>
      <c r="Y514" s="9" t="s">
        <v>62</v>
      </c>
      <c r="Z514" s="9">
        <v>80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17">
        <v>0</v>
      </c>
      <c r="AR514" s="9">
        <v>0</v>
      </c>
      <c r="AS514" s="9">
        <v>0</v>
      </c>
      <c r="AT514" s="17">
        <v>0</v>
      </c>
      <c r="AU514" s="9">
        <f t="shared" si="324"/>
        <v>1</v>
      </c>
      <c r="AV514" s="9">
        <f t="shared" si="325"/>
        <v>80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</row>
    <row r="515" spans="1:72" s="11" customFormat="1" ht="28" x14ac:dyDescent="0.15">
      <c r="A515" s="46"/>
      <c r="B515" s="59"/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1</v>
      </c>
      <c r="X515" s="37" t="s">
        <v>67</v>
      </c>
      <c r="Y515" s="9" t="s">
        <v>62</v>
      </c>
      <c r="Z515" s="9">
        <v>80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17">
        <v>0</v>
      </c>
      <c r="AR515" s="9">
        <v>0</v>
      </c>
      <c r="AS515" s="9">
        <v>0</v>
      </c>
      <c r="AT515" s="17">
        <v>0</v>
      </c>
      <c r="AU515" s="9">
        <f t="shared" si="324"/>
        <v>1</v>
      </c>
      <c r="AV515" s="9">
        <f t="shared" si="325"/>
        <v>80</v>
      </c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</row>
    <row r="516" spans="1:72" s="11" customFormat="1" ht="28" x14ac:dyDescent="0.15">
      <c r="A516" s="46"/>
      <c r="B516" s="59"/>
      <c r="C516" s="9">
        <v>0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1</v>
      </c>
      <c r="X516" s="29" t="s">
        <v>75</v>
      </c>
      <c r="Y516" s="9" t="s">
        <v>62</v>
      </c>
      <c r="Z516" s="9">
        <v>80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17">
        <v>0</v>
      </c>
      <c r="AR516" s="9">
        <v>0</v>
      </c>
      <c r="AS516" s="9">
        <v>0</v>
      </c>
      <c r="AT516" s="17">
        <v>0</v>
      </c>
      <c r="AU516" s="9">
        <f t="shared" si="324"/>
        <v>1</v>
      </c>
      <c r="AV516" s="9">
        <f t="shared" si="325"/>
        <v>80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</row>
    <row r="517" spans="1:72" s="11" customFormat="1" ht="28" x14ac:dyDescent="0.15">
      <c r="A517" s="46"/>
      <c r="B517" s="59"/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1</v>
      </c>
      <c r="AN517" s="29" t="s">
        <v>98</v>
      </c>
      <c r="AO517" s="29" t="s">
        <v>99</v>
      </c>
      <c r="AP517" s="9">
        <v>126</v>
      </c>
      <c r="AQ517" s="17">
        <v>0</v>
      </c>
      <c r="AR517" s="9">
        <v>0</v>
      </c>
      <c r="AS517" s="9">
        <v>0</v>
      </c>
      <c r="AT517" s="17">
        <v>0</v>
      </c>
      <c r="AU517" s="9">
        <f t="shared" si="324"/>
        <v>1</v>
      </c>
      <c r="AV517" s="9">
        <f t="shared" si="325"/>
        <v>126</v>
      </c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</row>
    <row r="518" spans="1:72" s="11" customFormat="1" ht="13" x14ac:dyDescent="0.15">
      <c r="A518" s="46"/>
      <c r="B518" s="5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2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29"/>
      <c r="AO518" s="29"/>
      <c r="AP518" s="9"/>
      <c r="AQ518" s="17">
        <v>0</v>
      </c>
      <c r="AR518" s="9">
        <v>0</v>
      </c>
      <c r="AS518" s="9">
        <v>0</v>
      </c>
      <c r="AT518" s="17">
        <v>0</v>
      </c>
      <c r="AU518" s="9">
        <f t="shared" si="324"/>
        <v>0</v>
      </c>
      <c r="AV518" s="9">
        <f t="shared" si="325"/>
        <v>0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</row>
    <row r="519" spans="1:72" s="11" customFormat="1" ht="13" x14ac:dyDescent="0.15">
      <c r="A519" s="46"/>
      <c r="B519" s="5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2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29"/>
      <c r="AO519" s="29"/>
      <c r="AP519" s="9"/>
      <c r="AQ519" s="17">
        <v>0</v>
      </c>
      <c r="AR519" s="9">
        <v>0</v>
      </c>
      <c r="AS519" s="9">
        <v>0</v>
      </c>
      <c r="AT519" s="17">
        <v>0</v>
      </c>
      <c r="AU519" s="9">
        <f t="shared" si="324"/>
        <v>0</v>
      </c>
      <c r="AV519" s="9">
        <f t="shared" si="325"/>
        <v>0</v>
      </c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</row>
    <row r="520" spans="1:72" s="11" customFormat="1" ht="13" x14ac:dyDescent="0.15">
      <c r="A520" s="46"/>
      <c r="B520" s="5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2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29"/>
      <c r="AO520" s="29"/>
      <c r="AP520" s="9"/>
      <c r="AQ520" s="17">
        <v>0</v>
      </c>
      <c r="AR520" s="9">
        <v>0</v>
      </c>
      <c r="AS520" s="9">
        <v>0</v>
      </c>
      <c r="AT520" s="17">
        <v>0</v>
      </c>
      <c r="AU520" s="9">
        <f t="shared" si="324"/>
        <v>0</v>
      </c>
      <c r="AV520" s="9">
        <f t="shared" si="325"/>
        <v>0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</row>
    <row r="521" spans="1:72" s="11" customFormat="1" ht="13" x14ac:dyDescent="0.15">
      <c r="A521" s="46"/>
      <c r="B521" s="5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2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29"/>
      <c r="AO521" s="29"/>
      <c r="AP521" s="9"/>
      <c r="AQ521" s="17">
        <v>0</v>
      </c>
      <c r="AR521" s="9">
        <v>0</v>
      </c>
      <c r="AS521" s="9">
        <v>0</v>
      </c>
      <c r="AT521" s="17">
        <v>0</v>
      </c>
      <c r="AU521" s="9">
        <f t="shared" si="324"/>
        <v>0</v>
      </c>
      <c r="AV521" s="9">
        <f t="shared" si="325"/>
        <v>0</v>
      </c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</row>
    <row r="522" spans="1:72" s="11" customFormat="1" ht="13" x14ac:dyDescent="0.15">
      <c r="A522" s="46"/>
      <c r="B522" s="5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17">
        <v>0</v>
      </c>
      <c r="AR522" s="9">
        <v>0</v>
      </c>
      <c r="AS522" s="9">
        <v>0</v>
      </c>
      <c r="AT522" s="17">
        <v>0</v>
      </c>
      <c r="AU522" s="9">
        <f t="shared" si="324"/>
        <v>0</v>
      </c>
      <c r="AV522" s="9">
        <f t="shared" si="325"/>
        <v>0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</row>
    <row r="523" spans="1:72" s="11" customFormat="1" ht="13" x14ac:dyDescent="0.15">
      <c r="A523" s="46"/>
      <c r="B523" s="60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17">
        <v>0</v>
      </c>
      <c r="AR523" s="9">
        <v>0</v>
      </c>
      <c r="AS523" s="9">
        <v>0</v>
      </c>
      <c r="AT523" s="17">
        <v>0</v>
      </c>
      <c r="AU523" s="9">
        <f t="shared" si="324"/>
        <v>0</v>
      </c>
      <c r="AV523" s="9">
        <f t="shared" si="325"/>
        <v>0</v>
      </c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</row>
    <row r="524" spans="1:72" s="21" customFormat="1" ht="13" x14ac:dyDescent="0.15">
      <c r="A524" s="47"/>
      <c r="B524" s="22" t="s">
        <v>18</v>
      </c>
      <c r="C524" s="23">
        <f>SUM(C514:C523)</f>
        <v>0</v>
      </c>
      <c r="D524" s="23"/>
      <c r="E524" s="23"/>
      <c r="F524" s="23">
        <f t="shared" ref="F524" si="351">SUM(F514:F523)</f>
        <v>0</v>
      </c>
      <c r="G524" s="23">
        <f t="shared" ref="G524" si="352">SUM(G514:G523)</f>
        <v>0</v>
      </c>
      <c r="H524" s="23"/>
      <c r="I524" s="23"/>
      <c r="J524" s="23">
        <f t="shared" ref="J524" si="353">SUM(J514:J523)</f>
        <v>0</v>
      </c>
      <c r="K524" s="23">
        <f t="shared" ref="K524" si="354">SUM(K514:K523)</f>
        <v>0</v>
      </c>
      <c r="L524" s="23"/>
      <c r="M524" s="23"/>
      <c r="N524" s="23">
        <f t="shared" ref="N524" si="355">SUM(N514:N523)</f>
        <v>0</v>
      </c>
      <c r="O524" s="23">
        <f t="shared" ref="O524" si="356">SUM(O514:O523)</f>
        <v>0</v>
      </c>
      <c r="P524" s="23"/>
      <c r="Q524" s="23"/>
      <c r="R524" s="23">
        <f t="shared" ref="R524" si="357">SUM(R514:R523)</f>
        <v>0</v>
      </c>
      <c r="S524" s="23">
        <f t="shared" ref="S524" si="358">SUM(S514:S523)</f>
        <v>0</v>
      </c>
      <c r="T524" s="23"/>
      <c r="U524" s="23"/>
      <c r="V524" s="23">
        <f t="shared" ref="V524" si="359">SUM(V514:V523)</f>
        <v>0</v>
      </c>
      <c r="W524" s="23">
        <f t="shared" ref="W524" si="360">SUM(W514:W523)</f>
        <v>3</v>
      </c>
      <c r="X524" s="23"/>
      <c r="Y524" s="23"/>
      <c r="Z524" s="23">
        <f t="shared" ref="Z524" si="361">SUM(Z514:Z523)</f>
        <v>240</v>
      </c>
      <c r="AA524" s="23">
        <f t="shared" ref="AA524" si="362">SUM(AA514:AA523)</f>
        <v>0</v>
      </c>
      <c r="AB524" s="23"/>
      <c r="AC524" s="23"/>
      <c r="AD524" s="23">
        <f t="shared" ref="AD524" si="363">SUM(AD514:AD523)</f>
        <v>0</v>
      </c>
      <c r="AE524" s="23">
        <f t="shared" ref="AE524" si="364">SUM(AE514:AE523)</f>
        <v>0</v>
      </c>
      <c r="AF524" s="23"/>
      <c r="AG524" s="23"/>
      <c r="AH524" s="23">
        <f t="shared" ref="AH524" si="365">SUM(AH514:AH523)</f>
        <v>0</v>
      </c>
      <c r="AI524" s="23">
        <f t="shared" ref="AI524" si="366">SUM(AI514:AI523)</f>
        <v>0</v>
      </c>
      <c r="AJ524" s="23"/>
      <c r="AK524" s="23"/>
      <c r="AL524" s="23">
        <f t="shared" ref="AL524" si="367">SUM(AL514:AL523)</f>
        <v>0</v>
      </c>
      <c r="AM524" s="23">
        <f t="shared" ref="AM524" si="368">SUM(AM514:AM523)</f>
        <v>1</v>
      </c>
      <c r="AN524" s="23"/>
      <c r="AO524" s="23"/>
      <c r="AP524" s="23">
        <f t="shared" ref="AP524:AT524" si="369">SUM(AP514:AP523)</f>
        <v>126</v>
      </c>
      <c r="AQ524" s="23">
        <f t="shared" si="369"/>
        <v>0</v>
      </c>
      <c r="AR524" s="23"/>
      <c r="AS524" s="23"/>
      <c r="AT524" s="23">
        <f t="shared" si="369"/>
        <v>0</v>
      </c>
      <c r="AU524" s="23">
        <f>SUM(AU514:AU523)</f>
        <v>4</v>
      </c>
      <c r="AV524" s="23">
        <f>SUM(AV514:AV523)</f>
        <v>366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72" s="11" customFormat="1" ht="28" x14ac:dyDescent="0.15">
      <c r="A525" s="45">
        <v>40</v>
      </c>
      <c r="B525" s="55" t="s">
        <v>57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1</v>
      </c>
      <c r="X525" s="29" t="s">
        <v>91</v>
      </c>
      <c r="Y525" s="9" t="s">
        <v>92</v>
      </c>
      <c r="Z525" s="9">
        <v>90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17">
        <v>0</v>
      </c>
      <c r="AR525" s="9">
        <v>0</v>
      </c>
      <c r="AS525" s="9">
        <v>0</v>
      </c>
      <c r="AT525" s="17">
        <v>0</v>
      </c>
      <c r="AU525" s="9">
        <f t="shared" si="324"/>
        <v>1</v>
      </c>
      <c r="AV525" s="9">
        <f t="shared" si="325"/>
        <v>90</v>
      </c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</row>
    <row r="526" spans="1:72" s="11" customFormat="1" ht="28" x14ac:dyDescent="0.15">
      <c r="A526" s="46"/>
      <c r="B526" s="56"/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29">
        <v>0</v>
      </c>
      <c r="U526" s="2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1</v>
      </c>
      <c r="AN526" s="29" t="s">
        <v>115</v>
      </c>
      <c r="AO526" s="9" t="s">
        <v>81</v>
      </c>
      <c r="AP526" s="9">
        <v>160</v>
      </c>
      <c r="AQ526" s="17">
        <v>0</v>
      </c>
      <c r="AR526" s="9">
        <v>0</v>
      </c>
      <c r="AS526" s="9">
        <v>0</v>
      </c>
      <c r="AT526" s="17">
        <v>0</v>
      </c>
      <c r="AU526" s="9">
        <f t="shared" si="324"/>
        <v>1</v>
      </c>
      <c r="AV526" s="9">
        <f t="shared" si="325"/>
        <v>160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</row>
    <row r="527" spans="1:72" s="11" customFormat="1" ht="28" x14ac:dyDescent="0.15">
      <c r="A527" s="46"/>
      <c r="B527" s="56"/>
      <c r="C527" s="9"/>
      <c r="D527" s="9"/>
      <c r="E527" s="9"/>
      <c r="F527" s="9"/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1</v>
      </c>
      <c r="AN527" s="29" t="s">
        <v>121</v>
      </c>
      <c r="AO527" s="9" t="s">
        <v>62</v>
      </c>
      <c r="AP527" s="9">
        <v>80</v>
      </c>
      <c r="AQ527" s="17">
        <v>0</v>
      </c>
      <c r="AR527" s="9">
        <v>0</v>
      </c>
      <c r="AS527" s="9">
        <v>0</v>
      </c>
      <c r="AT527" s="17">
        <v>0</v>
      </c>
      <c r="AU527" s="9">
        <f t="shared" si="324"/>
        <v>1</v>
      </c>
      <c r="AV527" s="9">
        <f t="shared" si="325"/>
        <v>80</v>
      </c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</row>
    <row r="528" spans="1:72" s="11" customFormat="1" ht="13" x14ac:dyDescent="0.15">
      <c r="A528" s="46"/>
      <c r="B528" s="56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17">
        <v>0</v>
      </c>
      <c r="AR528" s="9">
        <v>0</v>
      </c>
      <c r="AS528" s="9">
        <v>0</v>
      </c>
      <c r="AT528" s="17">
        <v>0</v>
      </c>
      <c r="AU528" s="9">
        <f t="shared" si="324"/>
        <v>0</v>
      </c>
      <c r="AV528" s="9">
        <f t="shared" si="325"/>
        <v>0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</row>
    <row r="529" spans="1:72" s="11" customFormat="1" ht="13" x14ac:dyDescent="0.15">
      <c r="A529" s="46"/>
      <c r="B529" s="56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17">
        <v>0</v>
      </c>
      <c r="AR529" s="9">
        <v>0</v>
      </c>
      <c r="AS529" s="9">
        <v>0</v>
      </c>
      <c r="AT529" s="17">
        <v>0</v>
      </c>
      <c r="AU529" s="9">
        <f t="shared" si="324"/>
        <v>0</v>
      </c>
      <c r="AV529" s="9">
        <f t="shared" si="325"/>
        <v>0</v>
      </c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</row>
    <row r="530" spans="1:72" s="11" customFormat="1" ht="13" x14ac:dyDescent="0.15">
      <c r="A530" s="46"/>
      <c r="B530" s="56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17">
        <v>0</v>
      </c>
      <c r="AR530" s="9">
        <v>0</v>
      </c>
      <c r="AS530" s="9">
        <v>0</v>
      </c>
      <c r="AT530" s="17">
        <v>0</v>
      </c>
      <c r="AU530" s="9">
        <f t="shared" si="324"/>
        <v>0</v>
      </c>
      <c r="AV530" s="9">
        <f t="shared" si="325"/>
        <v>0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</row>
    <row r="531" spans="1:72" s="11" customFormat="1" ht="13" x14ac:dyDescent="0.15">
      <c r="A531" s="46"/>
      <c r="B531" s="56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17">
        <v>0</v>
      </c>
      <c r="AR531" s="9">
        <v>0</v>
      </c>
      <c r="AS531" s="9">
        <v>0</v>
      </c>
      <c r="AT531" s="17">
        <v>0</v>
      </c>
      <c r="AU531" s="9">
        <f t="shared" ref="AU531:AU532" si="370">SUM(C531+G531+K531+O531+S531+W531+AA531+AE531+AI531+AM531+AQ531)</f>
        <v>0</v>
      </c>
      <c r="AV531" s="9">
        <f t="shared" ref="AV531:AV532" si="371">SUM(F531+J531+N531+R531+V531+Z531+AD531+AH531+AL531+AP531+AT531)</f>
        <v>0</v>
      </c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</row>
    <row r="532" spans="1:72" s="11" customFormat="1" ht="13" x14ac:dyDescent="0.15">
      <c r="A532" s="46"/>
      <c r="B532" s="57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17">
        <v>0</v>
      </c>
      <c r="AR532" s="9">
        <v>0</v>
      </c>
      <c r="AS532" s="9">
        <v>0</v>
      </c>
      <c r="AT532" s="17">
        <v>0</v>
      </c>
      <c r="AU532" s="9">
        <f t="shared" si="370"/>
        <v>0</v>
      </c>
      <c r="AV532" s="9">
        <f t="shared" si="371"/>
        <v>0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</row>
    <row r="533" spans="1:72" s="21" customFormat="1" ht="13" x14ac:dyDescent="0.15">
      <c r="A533" s="47"/>
      <c r="B533" s="41" t="s">
        <v>18</v>
      </c>
      <c r="C533" s="23">
        <f>SUM(C525:C532)</f>
        <v>0</v>
      </c>
      <c r="D533" s="23"/>
      <c r="E533" s="23"/>
      <c r="F533" s="23">
        <f t="shared" ref="F533:AP533" si="372">SUM(F525:F532)</f>
        <v>0</v>
      </c>
      <c r="G533" s="23">
        <f t="shared" si="372"/>
        <v>0</v>
      </c>
      <c r="H533" s="23"/>
      <c r="I533" s="23"/>
      <c r="J533" s="23">
        <f t="shared" si="372"/>
        <v>0</v>
      </c>
      <c r="K533" s="23">
        <f t="shared" si="372"/>
        <v>0</v>
      </c>
      <c r="L533" s="23"/>
      <c r="M533" s="23"/>
      <c r="N533" s="23">
        <f t="shared" si="372"/>
        <v>0</v>
      </c>
      <c r="O533" s="23">
        <f t="shared" si="372"/>
        <v>0</v>
      </c>
      <c r="P533" s="23"/>
      <c r="Q533" s="23"/>
      <c r="R533" s="23">
        <f t="shared" si="372"/>
        <v>0</v>
      </c>
      <c r="S533" s="23">
        <f t="shared" si="372"/>
        <v>0</v>
      </c>
      <c r="T533" s="23"/>
      <c r="U533" s="23"/>
      <c r="V533" s="23">
        <f t="shared" si="372"/>
        <v>0</v>
      </c>
      <c r="W533" s="23">
        <f t="shared" si="372"/>
        <v>1</v>
      </c>
      <c r="X533" s="23"/>
      <c r="Y533" s="23"/>
      <c r="Z533" s="23">
        <f t="shared" si="372"/>
        <v>90</v>
      </c>
      <c r="AA533" s="23">
        <f t="shared" si="372"/>
        <v>0</v>
      </c>
      <c r="AB533" s="23"/>
      <c r="AC533" s="23"/>
      <c r="AD533" s="23">
        <f t="shared" si="372"/>
        <v>0</v>
      </c>
      <c r="AE533" s="23">
        <f t="shared" si="372"/>
        <v>0</v>
      </c>
      <c r="AF533" s="23"/>
      <c r="AG533" s="23"/>
      <c r="AH533" s="23">
        <f t="shared" si="372"/>
        <v>0</v>
      </c>
      <c r="AI533" s="23">
        <f t="shared" si="372"/>
        <v>0</v>
      </c>
      <c r="AJ533" s="23"/>
      <c r="AK533" s="23"/>
      <c r="AL533" s="23">
        <f t="shared" si="372"/>
        <v>0</v>
      </c>
      <c r="AM533" s="23">
        <f t="shared" si="372"/>
        <v>2</v>
      </c>
      <c r="AN533" s="23"/>
      <c r="AO533" s="23"/>
      <c r="AP533" s="23">
        <f t="shared" si="372"/>
        <v>240</v>
      </c>
      <c r="AQ533" s="23">
        <f t="shared" ref="AQ533" si="373">SUM(AQ525:AQ532)</f>
        <v>0</v>
      </c>
      <c r="AR533" s="23"/>
      <c r="AS533" s="23"/>
      <c r="AT533" s="23">
        <f t="shared" ref="AT533" si="374">SUM(AT525:AT532)</f>
        <v>0</v>
      </c>
      <c r="AU533" s="23">
        <f>SUM(AU525:AU532)</f>
        <v>3</v>
      </c>
      <c r="AV533" s="23">
        <f>SUM(AV525:AV532)</f>
        <v>330</v>
      </c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72" s="25" customFormat="1" x14ac:dyDescent="0.2">
      <c r="A534" s="54" t="s">
        <v>18</v>
      </c>
      <c r="B534" s="54"/>
      <c r="C534" s="30">
        <f ca="1">SUM(C21+C32+C41+C53+C63+C77+C91+C106+C127+C135+C163+C183+C195+C209+C223+C239+C255+C268+C284+C298+C316+C328+C339+C350+C360+C376+C386+C401+C416+C425+C434+C444+C452+C466+C476+C487+C499+C513+C524+C533)</f>
        <v>0</v>
      </c>
      <c r="D534" s="30"/>
      <c r="E534" s="30"/>
      <c r="F534" s="30">
        <f>SUM(F21+F32+F41+F53+F63+F77+F91+F106+F127+F135+F163+F183+F195+F209+F223+F239+F255+F268+F284+F298+F316+F328+F339+F350+F360+F376+F386+F401+F416+F425+F434+F444+F452+F466+F476+F487+F499+F513+F524+F533)</f>
        <v>390</v>
      </c>
      <c r="G534" s="30">
        <f>SUM(G21+G32+G41+G53+G63+G77+G91+G106+G127+G135+G163+G183+G195+G209+G223+G239+G255+G268+G284+G298+G316+G328+G339+G350+G360+G376+G386+G401+G416+G425+G434+G444+G452+G466+G476+G487+G499+G513+G524+G533)</f>
        <v>0</v>
      </c>
      <c r="H534" s="30"/>
      <c r="I534" s="30"/>
      <c r="J534" s="30">
        <f>SUM(J21+J32+J41+J53+J63+J77+J91+J106+J127+J135+J163+J183+J195+J209+J223+J239+J255+J268+J284+J298+J316+J328+J339+J350+J360+J376+J386+J401+J416+J425+J434+J444+J452+J466+J476+J487+J499+J513+J524+J533)</f>
        <v>0</v>
      </c>
      <c r="K534" s="30">
        <f>SUM(K21+K32+K41+K53+K63+K77+K91+K106+K127+K135+K163+K183+K195+K209+K223+K239+K255+K268+K284+K298+K316+K328+K339+K350+K360+K376+K386+K401+K416+K425+K434+K444+K452+K466+K476+K487+K499+K513+K524+K533)</f>
        <v>3</v>
      </c>
      <c r="L534" s="30"/>
      <c r="M534" s="30"/>
      <c r="N534" s="30">
        <f>SUM(N21+N32+N41+N53+N63+N77+N91+N106+N127+N135+N163+N183+N195+N209+N223+N239+N255+N268+N284+N298+N316+N328+N339+N350+N360+N376+N386+N401+N416+N425+N434+N444+N452+N466+N476+N487+N499+N513+N524+N533)</f>
        <v>810</v>
      </c>
      <c r="O534" s="30">
        <f>SUM(O21+O32+O41+O53+O63+O77+O91+O106+O127+O135+O163+O183+O195+O209+O223+O239+O255+O268+O284+O298+O316+O328+O339+O350+O360+O376+O386+O401+O416+O425+O434+O444+O452+O466+O476+O487+O499+O513+O524+O533)</f>
        <v>1</v>
      </c>
      <c r="P534" s="30"/>
      <c r="Q534" s="30"/>
      <c r="R534" s="30">
        <f>SUM(R21+R32+R41+R53+R63+R77+R91+R106+R127+R135+R163+R183+R195+R209+R223+R239+R255+R268+R284+R298+R316+R328+R339+R350+R360+R376+R386+R401+R416+R425+R434+R444+R452+R466+R476+R487+R499+R513+R524+R533)</f>
        <v>120</v>
      </c>
      <c r="S534" s="30">
        <f>SUM(S21+S32+S41+S53+S63+S77+S91+S106+S127+S135+S163+S183+S195+S209+S223+S239+S255+S268+S284+S298+S316+S328+S339+S350+S360+S376+S386+S401+S416+S425+S434+S444+S452+S466+S476+S487+S499+S513+S524+S533)</f>
        <v>33</v>
      </c>
      <c r="T534" s="30"/>
      <c r="U534" s="30"/>
      <c r="V534" s="30">
        <f>SUM(V21+V32+V41+V53+V63+V77+V91+V106+V127+V135+V163+V183+V195+V209+V223+V239+V255+V268+V284+V298+V316+V328+V339+V350+V360+V376+V386+V401+V416+V425+V434+V444+V452+V466+V476+V487+V499+V513+V524+V533)</f>
        <v>2398</v>
      </c>
      <c r="W534" s="30">
        <f>SUM(W21+W32+W41+W53+W63+W77+W91+W106+W127+W135+W163+W183+W195+W209+W223+W239+W255+W268+W284+W298+W316+W328+W339+W350+W360+W376+W386+W401+W416+W425+W434+W444+W452+W466+W476+W487+W499+W513+W524+W533)</f>
        <v>63</v>
      </c>
      <c r="X534" s="30"/>
      <c r="Y534" s="30"/>
      <c r="Z534" s="30">
        <f>SUM(Z21+Z32+Z41+Z53+Z63+Z77+Z91+Z106+Z127+Z135+Z163+Z183+Z195+Z209+Z223+Z239+Z255+Z268+Z284+Z298+Z316+Z328+Z339+Z350+Z360+Z376+Z386+Z401+Z416+Z425+Z434+Z444+Z452+Z466+Z476+Z487+Z499+Z513+Z524+Z533)</f>
        <v>6346</v>
      </c>
      <c r="AA534" s="30">
        <f>SUM(AA21+AA32+AA41+AA53+AA63+AA77+AA91+AA106+AA127+AA135+AA163+AA183+AA195+AA209+AA223+AA239+AA255+AA268+AA284+AA298+AA316+AA328+AA339+AA350+AA360+AA376+AA386+AA401+AA416+AA425+AA434+AA444+AA452+AA466+AA476+AA487+AA499+AA513+AA524+AA533)</f>
        <v>0</v>
      </c>
      <c r="AB534" s="30"/>
      <c r="AC534" s="30"/>
      <c r="AD534" s="30">
        <f>SUM(AD21+AD32+AD41+AD53+AD63+AD77+AD91+AD106+AD127+AD135+AD163+AD183+AD195+AD209+AD223+AD239+AD255+AD268+AD284+AD298+AD316+AD328+AD339+AD350+AD360+AD376+AD386+AD401+AD416+AD425+AD434+AD444+AD452+AD466+AD476+AD487+AD499+AD513+AD524+AD533)</f>
        <v>0</v>
      </c>
      <c r="AE534" s="30">
        <f>SUM(AE21+AE32+AE41+AE53+AE63+AE77+AE91+AE106+AE127+AE135+AE163+AE183+AE195+AE209+AE223+AE239+AE255+AE268+AE284+AE298+AE316+AE328+AE339+AE350+AE360+AE376+AE386+AE401+AE416+AE425+AE434+AE444+AE452+AE466+AE476+AE487+AE499+AE513+AE524+AE533)</f>
        <v>2</v>
      </c>
      <c r="AF534" s="30"/>
      <c r="AG534" s="30"/>
      <c r="AH534" s="30">
        <f>SUM(AH21+AH32+AH41+AH53+AH63+AH77+AH91+AH106+AH127+AH135+AH163+AH183+AH195+AH209+AH223+AH239+AH255+AH268+AH284+AH298+AH316+AH328+AH339+AH350+AH360+AH376+AH386+AH401+AH416+AH425+AH434+AH444+AH452+AH466+AH476+AH487+AH499+AH513+AH524+AH533)</f>
        <v>532</v>
      </c>
      <c r="AI534" s="30">
        <f>SUM(AI21+AI32+AI41+AI53+AI63+AI77+AI91+AI106+AI127+AI135+AI163+AI183+AI195+AI209+AI223+AI239+AI255+AI268+AI284+AI298+AI316+AI328+AI339+AI350+AI360+AI376+AI386+AI401+AI416+AI425+AI434+AI444+AI452+AI466+AI476+AI487+AI499+AI513+AI524+AI533)</f>
        <v>0</v>
      </c>
      <c r="AJ534" s="30"/>
      <c r="AK534" s="30"/>
      <c r="AL534" s="30">
        <f>SUM(AL21+AL32+AL41+AL53+AL63+AL77+AL91+AL106+AL127+AL135+AL163+AL183+AL195+AL209+AL223+AL239+AL255+AL268+AL284+AL298+AL316+AL328+AL339+AL350+AL360+AL376+AL386+AL401+AL416+AL425+AL434+AL444+AL452+AL466+AL476+AL487+AL499+AL513+AL524+AL533)</f>
        <v>0</v>
      </c>
      <c r="AM534" s="30">
        <f>SUM(AM21+AM32+AM41+AM53+AM63+AM77+AM91+AM106+AM127+AM135+AM163+AM183+AM195+AM209+AM223+AM239+AM255+AM268+AM284+AM298+AM316+AM328+AM339+AM350+AM360+AM376+AM386+AM401+AM416+AM425+AM434+AM444+AM452+AM466+AM476+AM487+AM499+AM513+AM524+AM533)</f>
        <v>60</v>
      </c>
      <c r="AN534" s="30"/>
      <c r="AO534" s="30"/>
      <c r="AP534" s="30">
        <f>SUM(AP21+AP32+AP41+AP53+AP63+AP77+AP91+AP106+AP127+AP135+AP163+AP183+AP195+AP209+AP223+AP239+AP255+AP268+AP284+AP298+AP316+AP328+AP339+AP350+AP360+AP376+AP386+AP401+AP416+AP425+AP434+AP444+AP452+AP466+AP476+AP487+AP499+AP513+AP524+AP533)</f>
        <v>7982</v>
      </c>
      <c r="AQ534" s="30">
        <f>SUM(AQ21+AQ32+AQ41+AQ53+AQ63+AQ77+AQ91+AQ106+AQ127+AQ135+AQ163+AQ183+AQ195+AQ209+AQ223+AQ239+AQ255+AQ268+AQ284+AQ298+AQ316+AQ328+AQ339+AQ350+AQ360+AQ376+AQ386+AQ401+AQ416+AQ425+AQ434+AQ444+AQ452+AQ466+AQ476+AQ487+AQ499+AQ513+AQ524+AQ533)</f>
        <v>21</v>
      </c>
      <c r="AR534" s="30"/>
      <c r="AS534" s="30"/>
      <c r="AT534" s="30">
        <f>SUM(AT21+AT32+AT41+AT53+AT63+AT77+AT91+AT106+AT127+AT135+AT163+AT183+AT195+AT209+AT223+AT239+AT255+AT268+AT284+AT298+AT316+AT328+AT339+AT350+AT360+AT376+AT386+AT401+AT416+AT425+AT434+AT444+AT452+AT466+AT476+AT487+AT499+AT513+AT524+AT533)</f>
        <v>690</v>
      </c>
      <c r="AU534" s="30">
        <f>SUM(AU21+AU32+AU41+AU53+AU63+AU77+AU91+AU106+AU127+AU135+AU163+AU183+AU195+AU209+AU223+AU239+AU255+AU268+AU284+AU298+AU316+AU328+AU339+AU350+AU360+AU376+AU386+AU401+AU416+AU425+AU434+AU444+AU452+AU466+AU476+AU487+AU499+AU513+AU524+AU533)</f>
        <v>188</v>
      </c>
      <c r="AV534" s="30">
        <f>SUM(AV21+AV32+AV41+AV53+AV63+AV77+AV91+AV106+AV127+AV135+AV163+AV183+AV195+AV209+AV223+AV239+AV255+AV268+AV284+AV298+AV316+AV328+AV339+AV350+AV360+AV376+AV386+AV401+AV416+AV425+AV434+AV444+AV452+AV466+AV476+AV487+AV499+AV513+AV524+AV533)</f>
        <v>19518</v>
      </c>
      <c r="AW534" s="26"/>
      <c r="AX534" s="26"/>
      <c r="AY534" s="26"/>
      <c r="AZ534" s="26"/>
      <c r="BA534" s="5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72" x14ac:dyDescent="0.2">
      <c r="AU535" s="27"/>
      <c r="AV535" s="27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</row>
    <row r="536" spans="1:72" x14ac:dyDescent="0.2">
      <c r="AU536" s="3"/>
      <c r="AV536" s="3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</row>
    <row r="537" spans="1:72" x14ac:dyDescent="0.2">
      <c r="AU537" s="28"/>
      <c r="AV537" s="28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</row>
    <row r="538" spans="1:72" x14ac:dyDescent="0.2"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</row>
    <row r="539" spans="1:72" x14ac:dyDescent="0.2"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</row>
    <row r="540" spans="1:72" x14ac:dyDescent="0.2"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</row>
    <row r="541" spans="1:72" x14ac:dyDescent="0.2"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</row>
    <row r="542" spans="1:72" x14ac:dyDescent="0.2"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</row>
    <row r="543" spans="1:72" x14ac:dyDescent="0.2"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</row>
    <row r="544" spans="1:72" x14ac:dyDescent="0.2"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</row>
    <row r="545" spans="49:72" x14ac:dyDescent="0.2"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</row>
    <row r="546" spans="49:72" x14ac:dyDescent="0.2"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</row>
    <row r="547" spans="49:72" x14ac:dyDescent="0.2"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</row>
    <row r="548" spans="49:72" x14ac:dyDescent="0.2"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</row>
    <row r="549" spans="49:72" x14ac:dyDescent="0.2"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</row>
    <row r="550" spans="49:72" x14ac:dyDescent="0.2"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</row>
    <row r="551" spans="49:72" x14ac:dyDescent="0.2"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</row>
  </sheetData>
  <mergeCells count="86">
    <mergeCell ref="A329:A339"/>
    <mergeCell ref="A1:AV1"/>
    <mergeCell ref="A2:AV2"/>
    <mergeCell ref="A453:A466"/>
    <mergeCell ref="A467:A476"/>
    <mergeCell ref="A402:A416"/>
    <mergeCell ref="A387:A401"/>
    <mergeCell ref="A417:A425"/>
    <mergeCell ref="A426:A434"/>
    <mergeCell ref="A435:A444"/>
    <mergeCell ref="A445:A452"/>
    <mergeCell ref="A107:A127"/>
    <mergeCell ref="A377:A386"/>
    <mergeCell ref="A224:A239"/>
    <mergeCell ref="A240:A255"/>
    <mergeCell ref="A256:A268"/>
    <mergeCell ref="A340:A350"/>
    <mergeCell ref="A351:A360"/>
    <mergeCell ref="A361:A376"/>
    <mergeCell ref="A210:A223"/>
    <mergeCell ref="B107:B126"/>
    <mergeCell ref="A128:A135"/>
    <mergeCell ref="A136:A163"/>
    <mergeCell ref="A164:A183"/>
    <mergeCell ref="A184:A195"/>
    <mergeCell ref="A196:A209"/>
    <mergeCell ref="B299:B315"/>
    <mergeCell ref="B317:B327"/>
    <mergeCell ref="A269:A284"/>
    <mergeCell ref="A285:A298"/>
    <mergeCell ref="A299:A316"/>
    <mergeCell ref="A317:A328"/>
    <mergeCell ref="A78:A91"/>
    <mergeCell ref="A92:A106"/>
    <mergeCell ref="B285:B297"/>
    <mergeCell ref="B269:B283"/>
    <mergeCell ref="B256:B267"/>
    <mergeCell ref="B240:B254"/>
    <mergeCell ref="B224:B238"/>
    <mergeCell ref="B136:B162"/>
    <mergeCell ref="B92:B105"/>
    <mergeCell ref="B78:B90"/>
    <mergeCell ref="B210:B222"/>
    <mergeCell ref="B196:B208"/>
    <mergeCell ref="B184:B194"/>
    <mergeCell ref="B164:B182"/>
    <mergeCell ref="B128:B134"/>
    <mergeCell ref="B445:B451"/>
    <mergeCell ref="B435:B443"/>
    <mergeCell ref="B426:B433"/>
    <mergeCell ref="B417:B424"/>
    <mergeCell ref="B387:B400"/>
    <mergeCell ref="B402:B415"/>
    <mergeCell ref="B377:B385"/>
    <mergeCell ref="B361:B375"/>
    <mergeCell ref="B351:B359"/>
    <mergeCell ref="B340:B349"/>
    <mergeCell ref="B329:B338"/>
    <mergeCell ref="A534:B534"/>
    <mergeCell ref="B525:B532"/>
    <mergeCell ref="B514:B523"/>
    <mergeCell ref="B500:B512"/>
    <mergeCell ref="B453:B465"/>
    <mergeCell ref="B467:B475"/>
    <mergeCell ref="B477:B486"/>
    <mergeCell ref="B488:B498"/>
    <mergeCell ref="A525:A533"/>
    <mergeCell ref="A488:A499"/>
    <mergeCell ref="A500:A513"/>
    <mergeCell ref="A514:A524"/>
    <mergeCell ref="A477:A487"/>
    <mergeCell ref="A4:A14"/>
    <mergeCell ref="B4:B14"/>
    <mergeCell ref="C4:AV4"/>
    <mergeCell ref="B15:B20"/>
    <mergeCell ref="A15:A21"/>
    <mergeCell ref="B54:B62"/>
    <mergeCell ref="A54:A63"/>
    <mergeCell ref="B64:B76"/>
    <mergeCell ref="A64:A77"/>
    <mergeCell ref="B22:B31"/>
    <mergeCell ref="A22:A32"/>
    <mergeCell ref="B33:B40"/>
    <mergeCell ref="A33:A41"/>
    <mergeCell ref="B42:B52"/>
    <mergeCell ref="A42:A53"/>
  </mergeCells>
  <pageMargins left="0.70866141732283472" right="0.70866141732283472" top="0.74803149606299213" bottom="0.74803149606299213" header="0.31496062992125984" footer="0.31496062992125984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2026-05-15T12:57:29Z</dcterms:modified>
</cp:coreProperties>
</file>